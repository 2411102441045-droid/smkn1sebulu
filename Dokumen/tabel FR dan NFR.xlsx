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PKL\SMKN 1 Sebulu\01_Dokumen\"/>
    </mc:Choice>
  </mc:AlternateContent>
  <xr:revisionPtr revIDLastSave="0" documentId="13_ncr:1_{B7CBBE46-0A41-404B-8318-D6B70B76FBDB}" xr6:coauthVersionLast="47" xr6:coauthVersionMax="47" xr10:uidLastSave="{00000000-0000-0000-0000-000000000000}"/>
  <bookViews>
    <workbookView xWindow="-110" yWindow="-110" windowWidth="19420" windowHeight="10300" firstSheet="2" activeTab="5" xr2:uid="{7ADA115F-15D9-4573-84E6-F16B46DA947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5" l="1" a="1"/>
  <c r="A26" i="5" s="1"/>
  <c r="A16" i="5" a="1"/>
  <c r="A16" i="5" s="1"/>
  <c r="A7" i="5" a="1"/>
  <c r="A7" i="5" s="1"/>
  <c r="A2" i="5" a="1"/>
  <c r="A2" i="5" s="1"/>
  <c r="A2" i="4" a="1"/>
  <c r="A2" i="4" s="1"/>
  <c r="A2" i="2" a="1"/>
  <c r="A2" i="2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<sst xmlns="http://schemas.openxmlformats.org/spreadsheetml/2006/main" count="505" uniqueCount="309">
  <si>
    <t>No</t>
  </si>
  <si>
    <t>Kode</t>
  </si>
  <si>
    <t>Modul</t>
  </si>
  <si>
    <t>Kebutuhan Fungsional</t>
  </si>
  <si>
    <t>Aktor</t>
  </si>
  <si>
    <t>FR-WEB-001</t>
  </si>
  <si>
    <t>FR-WEB-002</t>
  </si>
  <si>
    <t>FR-WEB-003</t>
  </si>
  <si>
    <t>FR-WEB-004</t>
  </si>
  <si>
    <t>FR-WEB-005</t>
  </si>
  <si>
    <t>FR-WEB-006</t>
  </si>
  <si>
    <t>FR-WEB-007</t>
  </si>
  <si>
    <t>FR-WEB-008</t>
  </si>
  <si>
    <t>FR-WEB-009</t>
  </si>
  <si>
    <t>Website</t>
  </si>
  <si>
    <t>PPDB</t>
  </si>
  <si>
    <t>Theme Manager</t>
  </si>
  <si>
    <t>Dashboard</t>
  </si>
  <si>
    <t>Super Admin</t>
  </si>
  <si>
    <t>Sistem harus menampilkan halaman beranda.</t>
  </si>
  <si>
    <t>sistem harus menampilkan profil sekolah.</t>
  </si>
  <si>
    <t>sistem harus menampilkan visi dan misi sekolah.</t>
  </si>
  <si>
    <t>sistem harus menampilkan informasi jurusan.</t>
  </si>
  <si>
    <t>sistem harus menampilkan data guru dan tenaga kependidikan.</t>
  </si>
  <si>
    <t>sistem harus menampilkan berita sekolah.</t>
  </si>
  <si>
    <t>sistem harus menampilkan galeri kegiatan sekolah.</t>
  </si>
  <si>
    <t>sistem harus menampilkan informasi kontak sekolah.</t>
  </si>
  <si>
    <t>sistem harus menampilkan lokasi sekolah dalam bentuk peta pada halaman contac us.</t>
  </si>
  <si>
    <t>sistem harus menyediakan formulir pendaftaran PPDB secara daring</t>
  </si>
  <si>
    <t>sistem harus menyimpan biodata calon peserta didik</t>
  </si>
  <si>
    <t>sistem harus menyimpan data orang tua atau wali</t>
  </si>
  <si>
    <t>sistem harus menyimpan data pendukung</t>
  </si>
  <si>
    <t>sistem harus menerima unggahan dokumen persyaratan</t>
  </si>
  <si>
    <t>sistem harus menerima unggahan rapor berformat JPG/JPEG</t>
  </si>
  <si>
    <t>sistem harus melakukan ekstraksi nilai menggunakan OCR</t>
  </si>
  <si>
    <t>sistem harus menampilkan hasil ekstraksi OCR untuk dikonfirmasi pengguna</t>
  </si>
  <si>
    <t>sistem harus menyimpan hasil konfirmasi OCR</t>
  </si>
  <si>
    <t>sistem harus menerima data minat calon peserta didik</t>
  </si>
  <si>
    <t>sistem harus menghitung rekomendasi jurusan menggunakan metode SAW</t>
  </si>
  <si>
    <t>sistem harus menampilkan hasil rekomendasi jurusan</t>
  </si>
  <si>
    <t>sistem harus menerima pilihan jurusan calon peserta didik</t>
  </si>
  <si>
    <t>sistem harus menyimpan data pendaftaran setelah proses submit berhasil</t>
  </si>
  <si>
    <t>sistem harus menghasilkan nomor pendaftaran secara otomatis</t>
  </si>
  <si>
    <t>sistem harus menghasilkan bukti pendaftaran dalam format PDF yang dapat diunduh</t>
  </si>
  <si>
    <t>sistem harus mengaitkan data pendaftaran dengan periode PPDB yang sedang aktif</t>
  </si>
  <si>
    <t>sistem harus mengelola data kriteria penilaian</t>
  </si>
  <si>
    <t>sistem harus mengelola bobot setiap kriteria</t>
  </si>
  <si>
    <t>sistem harus mengelola alternatif jurusan</t>
  </si>
  <si>
    <t>sistem harus melakukan perhitungan rekomendasi menggunakan metode SAW</t>
  </si>
  <si>
    <t>sistem harus menampilkan hasil perhitungan kepada admin</t>
  </si>
  <si>
    <t>sistem harus menambahkan tema baru</t>
  </si>
  <si>
    <t>sistem harus menampilkan rekomendasi kepada calon peserta didik</t>
  </si>
  <si>
    <t>sistem harus mengubah tema</t>
  </si>
  <si>
    <t>sistem harus menghapus tema</t>
  </si>
  <si>
    <t>sistem harus menjadwalkan pergantin tema secara otomatis</t>
  </si>
  <si>
    <t>sistem harus mengaktifkan tema secara manual</t>
  </si>
  <si>
    <t>sistem harus menyediakan halaman login admin dan super admin</t>
  </si>
  <si>
    <t>sistem harus mengelola profil sekolah</t>
  </si>
  <si>
    <t>sistem harus mengelola berita sekolah</t>
  </si>
  <si>
    <t>sistem harus mengelola galeri sekolah</t>
  </si>
  <si>
    <t>sistem harus mengelola data guru dan tenaga kependidikan</t>
  </si>
  <si>
    <t>sistem harus mengelola jurusan</t>
  </si>
  <si>
    <t>sistem harus mengelola data pendaftaran PPDB</t>
  </si>
  <si>
    <t>sistem harus mengelola periode PPDB</t>
  </si>
  <si>
    <t>sistem harus membuka dan menutup pendaftaran PPDB</t>
  </si>
  <si>
    <t>sistem harus mengelola theme manager</t>
  </si>
  <si>
    <t>sistem harus menampilkan laporan PPDB</t>
  </si>
  <si>
    <t>sistem harus mengekspor laporan PPDB ke Microsoft excel berdasarkan periode</t>
  </si>
  <si>
    <t>sistem harus mengelola akun admin</t>
  </si>
  <si>
    <t>sistem harus mengelola hak akses pengguna</t>
  </si>
  <si>
    <t>sistem harus mengelola konfigurasi sistem</t>
  </si>
  <si>
    <t>sistem harus melakukan pencadangan (backup) basis data</t>
  </si>
  <si>
    <t>sistem harus melakukan pemulihan (restore) basis data</t>
  </si>
  <si>
    <t>sistem harus menampilkan log aktivitas sistem</t>
  </si>
  <si>
    <t>Guest</t>
  </si>
  <si>
    <t>sistem</t>
  </si>
  <si>
    <t>admin</t>
  </si>
  <si>
    <t>admin, super admin</t>
  </si>
  <si>
    <t>super admin</t>
  </si>
  <si>
    <t>FR-PPDB-010</t>
  </si>
  <si>
    <t>FR-PPDB-011</t>
  </si>
  <si>
    <t>FR-PPDB-012</t>
  </si>
  <si>
    <t>FR-PPDB-013</t>
  </si>
  <si>
    <t>FR-PPDB-014</t>
  </si>
  <si>
    <t>FR-PPDB-015</t>
  </si>
  <si>
    <t>FR-PPDB-016</t>
  </si>
  <si>
    <t>FR-PPDB-017</t>
  </si>
  <si>
    <t>SPK</t>
  </si>
  <si>
    <t>FR-PPDB-001</t>
  </si>
  <si>
    <t>FR-PPDB-002</t>
  </si>
  <si>
    <t>FR-PPDB-003</t>
  </si>
  <si>
    <t>FR-PPDB-004</t>
  </si>
  <si>
    <t>FR-PPDB-005</t>
  </si>
  <si>
    <t>FR-PPDB-006</t>
  </si>
  <si>
    <t>FR-PPDB-007</t>
  </si>
  <si>
    <t>FR-PPDB-008</t>
  </si>
  <si>
    <t>FR-PPDB-009</t>
  </si>
  <si>
    <t>FR-SPK-001</t>
  </si>
  <si>
    <t>FR-SPK-002</t>
  </si>
  <si>
    <t>FR-SPK-003</t>
  </si>
  <si>
    <t>FR-SPK-004</t>
  </si>
  <si>
    <t>FR-SPK-005</t>
  </si>
  <si>
    <t>FR-SPK-006</t>
  </si>
  <si>
    <t>FR-TM-001</t>
  </si>
  <si>
    <t>FR-TM-002</t>
  </si>
  <si>
    <t>FR-TM-003</t>
  </si>
  <si>
    <t>FR-TM-004</t>
  </si>
  <si>
    <t>FR-TM-005</t>
  </si>
  <si>
    <t>FR-ADM-001</t>
  </si>
  <si>
    <t>FR-ADM-002</t>
  </si>
  <si>
    <t>FR-ADM-003</t>
  </si>
  <si>
    <t>FR-ADM-004</t>
  </si>
  <si>
    <t>FR-ADM-005</t>
  </si>
  <si>
    <t>FR-ADM-006</t>
  </si>
  <si>
    <t>FR-ADM-007</t>
  </si>
  <si>
    <t>FR-ADM-008</t>
  </si>
  <si>
    <t>FR-ADM-009</t>
  </si>
  <si>
    <t>FR-ADM-010</t>
  </si>
  <si>
    <t>FR-ADM-011</t>
  </si>
  <si>
    <t>FR-ADM-012</t>
  </si>
  <si>
    <t>FR-SADM-050</t>
  </si>
  <si>
    <t>FR-SADM-051</t>
  </si>
  <si>
    <t>FR-SADM-052</t>
  </si>
  <si>
    <t>FR-SADM-053</t>
  </si>
  <si>
    <t>FR-SADM-054</t>
  </si>
  <si>
    <t>FR-SADM-055</t>
  </si>
  <si>
    <t>Kategori</t>
  </si>
  <si>
    <t>Kebutuhan</t>
  </si>
  <si>
    <t>NFR-001</t>
  </si>
  <si>
    <t>NFR-002</t>
  </si>
  <si>
    <t>NFR-003</t>
  </si>
  <si>
    <t>NFR-004</t>
  </si>
  <si>
    <t>NFR-005</t>
  </si>
  <si>
    <t>NFR-006</t>
  </si>
  <si>
    <t>NFR-007</t>
  </si>
  <si>
    <t>NFR-008</t>
  </si>
  <si>
    <t>NFR-009</t>
  </si>
  <si>
    <t>NFR-010</t>
  </si>
  <si>
    <t>performance</t>
  </si>
  <si>
    <t>availability</t>
  </si>
  <si>
    <t>compatibility</t>
  </si>
  <si>
    <t>security</t>
  </si>
  <si>
    <t>usability</t>
  </si>
  <si>
    <t>maintainability</t>
  </si>
  <si>
    <t>reliability</t>
  </si>
  <si>
    <t>portability</t>
  </si>
  <si>
    <t>backup</t>
  </si>
  <si>
    <t>basis data dapat di cadangkan dan dipulihkan oleh super admin</t>
  </si>
  <si>
    <t>waktu respon halaman tidak lebih dari 5 detik pada kondisi normal</t>
  </si>
  <si>
    <t>sistem dapat diakses selama server dan jaringan tersedia</t>
  </si>
  <si>
    <t>sistem dapat dijalankan pada browser modern (Chrome, Edge, Firefox, Safari)</t>
  </si>
  <si>
    <t>password disimpan dalam bentuk terenkripsi (hash)</t>
  </si>
  <si>
    <t>sistem menerapkan autentikasi dan Role-based access control (RABC)</t>
  </si>
  <si>
    <t>antarmuka sistem mudah digunakan pengguna</t>
  </si>
  <si>
    <t>sistem di kembangkan menggunakan framework laravel sehingga mudah dipelihara dan dikembangkan</t>
  </si>
  <si>
    <t>data pendaftaran yang berhasil dikirim harus tersimpan di basis data</t>
  </si>
  <si>
    <t>sistem dapat diakses melalui komputer, laptop maupun telepon pintar</t>
  </si>
  <si>
    <t>Istilah</t>
  </si>
  <si>
    <t>Definisi</t>
  </si>
  <si>
    <t>SRS</t>
  </si>
  <si>
    <t>OCR</t>
  </si>
  <si>
    <t>SAW</t>
  </si>
  <si>
    <t>Admin</t>
  </si>
  <si>
    <t>RBAC</t>
  </si>
  <si>
    <r>
      <t xml:space="preserve">Software Require Specification, </t>
    </r>
    <r>
      <rPr>
        <sz val="11"/>
        <color theme="1"/>
        <rFont val="Calibri"/>
        <family val="2"/>
        <scheme val="minor"/>
      </rPr>
      <t>yaitu dokumen yang menjelaskan kebutuhan perangkat lunak secara lengkap sebagai acuan pengembangan sistem.</t>
    </r>
  </si>
  <si>
    <t>Penerimaan Peserta Didik Baru yang dilaksanakan secara daring melalui sistem.</t>
  </si>
  <si>
    <r>
      <rPr>
        <i/>
        <sz val="11"/>
        <color theme="1"/>
        <rFont val="Calibri"/>
        <family val="2"/>
        <scheme val="minor"/>
      </rPr>
      <t xml:space="preserve">Optical Character Recognition, </t>
    </r>
    <r>
      <rPr>
        <sz val="11"/>
        <color theme="1"/>
        <rFont val="Calibri"/>
        <family val="2"/>
        <scheme val="minor"/>
      </rPr>
      <t>yaitu teknologi yang digunakan untuk mengekstraksi data nilai foto rapor.</t>
    </r>
  </si>
  <si>
    <t>Sistem Pendukung Keputusan yang digunakan untuk memberikan rekomendasi jurusan kepada calon peserta didik.</t>
  </si>
  <si>
    <r>
      <t xml:space="preserve">Simple Additive Weighting, </t>
    </r>
    <r>
      <rPr>
        <sz val="11"/>
        <color theme="1"/>
        <rFont val="Calibri"/>
        <family val="2"/>
        <scheme val="minor"/>
      </rPr>
      <t>yaitu metode pengambilan keputusan multikriteria yang digunakan dalam proses rekomendasi jurusan.</t>
    </r>
  </si>
  <si>
    <t>Modul yang digunakan untuk mengatur tema atau tampilan website secara otomatis maupun manual.</t>
  </si>
  <si>
    <t>Halaman administrasi yang digunakan untuk mengelola seluruh data pada sistem</t>
  </si>
  <si>
    <t>Pengunjung website atau calon peserta didik yang mengakses sistem tanpa login.</t>
  </si>
  <si>
    <t>Pengguna yang bertugas mengelola data dan operasional sistem sesuai hak akses yang dimiliki.</t>
  </si>
  <si>
    <t>pengguna dengan hak akses tertinggi yang bertanggung jawab terhadap konfigurasi sistem, pengelolaan akun, dan keamanan data.</t>
  </si>
  <si>
    <r>
      <t xml:space="preserve">Role-Based Access Control, </t>
    </r>
    <r>
      <rPr>
        <sz val="11"/>
        <color theme="1"/>
        <rFont val="Calibri"/>
        <family val="2"/>
        <scheme val="minor"/>
      </rPr>
      <t>yaitu mekanisme pengaturan hak akses berdasarkan peran pengguna</t>
    </r>
  </si>
  <si>
    <t>Fungsi</t>
  </si>
  <si>
    <t>Sistem</t>
  </si>
  <si>
    <t>Website Profil</t>
  </si>
  <si>
    <t>PPDB Online</t>
  </si>
  <si>
    <t>SPK SAW</t>
  </si>
  <si>
    <t>Mengelola autentikasi pengguna, hak akses, dan log aktivitas</t>
  </si>
  <si>
    <t>Mengelola informasi profil sekolah</t>
  </si>
  <si>
    <t>Mengelola proses penerimaan peserta didik baru</t>
  </si>
  <si>
    <t>Mengelola hasil ekstraksi nilai rapor</t>
  </si>
  <si>
    <t>Mengelola proses rekomendasi jurusan</t>
  </si>
  <si>
    <t>Mengelola tampilan website</t>
  </si>
  <si>
    <t>Nama Tabel</t>
  </si>
  <si>
    <t>Roles</t>
  </si>
  <si>
    <t>Users</t>
  </si>
  <si>
    <t>Activity_logs</t>
  </si>
  <si>
    <t>Menyimpan data hak akses pengguna</t>
  </si>
  <si>
    <t>Menyimpan data akun pengguna</t>
  </si>
  <si>
    <t>Menyimpan riwayat aktivitas pengguna</t>
  </si>
  <si>
    <t>Profil_sekolah</t>
  </si>
  <si>
    <t>visi_misi</t>
  </si>
  <si>
    <t>jurusan</t>
  </si>
  <si>
    <t>guru</t>
  </si>
  <si>
    <t>berita</t>
  </si>
  <si>
    <t>galeri</t>
  </si>
  <si>
    <t>kontak</t>
  </si>
  <si>
    <t>Menyimpan informasi profil sekolah</t>
  </si>
  <si>
    <t>Menyimpan visi dan misi sekolah</t>
  </si>
  <si>
    <t>Menyimpan data jurusan</t>
  </si>
  <si>
    <t>Menyimpan data guru dan tenaga kependidik</t>
  </si>
  <si>
    <t>Menyimpanan berita sekolah</t>
  </si>
  <si>
    <t>Menyimpan foto kegiatan sekolah</t>
  </si>
  <si>
    <t>Menyimpan informasi Contac Us</t>
  </si>
  <si>
    <t>nama_tabel</t>
  </si>
  <si>
    <t>periode_ppdb</t>
  </si>
  <si>
    <t>pendaftaran</t>
  </si>
  <si>
    <t>orang_tua</t>
  </si>
  <si>
    <t>dokumen</t>
  </si>
  <si>
    <t>rapor</t>
  </si>
  <si>
    <t>Menyimpan periode penerimaan peserta didik baru</t>
  </si>
  <si>
    <t>Menyimpan data utama calon peserta didik</t>
  </si>
  <si>
    <t>Menyimpan data orang tua atau wali</t>
  </si>
  <si>
    <t>Menyimpan dokumen persyaratan yang di unggah</t>
  </si>
  <si>
    <t>Menyimpan foto rapor yang diunggah</t>
  </si>
  <si>
    <t>hasil_ocr</t>
  </si>
  <si>
    <t>Menyimpan hasil ekstraksi nilai dari fot rapor</t>
  </si>
  <si>
    <t>Kriteria</t>
  </si>
  <si>
    <t>bobot</t>
  </si>
  <si>
    <t>hasil_rekomendasi</t>
  </si>
  <si>
    <t>Menyimpan kriteria penilaian</t>
  </si>
  <si>
    <t>Mennyimpan hasil perhitungan SAW dan rekomendasi jurusan</t>
  </si>
  <si>
    <t>themes</t>
  </si>
  <si>
    <t>Menyimpan data tema website yang dapat diaktifkan oleh admin</t>
  </si>
  <si>
    <t>Tabel Induk</t>
  </si>
  <si>
    <t>Relasi</t>
  </si>
  <si>
    <t>Tabel Anak</t>
  </si>
  <si>
    <t>roles</t>
  </si>
  <si>
    <t>1 : N</t>
  </si>
  <si>
    <t>users</t>
  </si>
  <si>
    <t>pendaftar</t>
  </si>
  <si>
    <t>1 : 1</t>
  </si>
  <si>
    <t>activity_logs</t>
  </si>
  <si>
    <t>──────</t>
  </si>
  <si>
    <t>PK id</t>
  </si>
  <si>
    <t>nama</t>
  </si>
  <si>
    <t xml:space="preserve">    │ 1</t>
  </si>
  <si>
    <t xml:space="preserve">    │</t>
  </si>
  <si>
    <t xml:space="preserve">    │ N</t>
  </si>
  <si>
    <t>FK role_id</t>
  </si>
  <si>
    <t>email</t>
  </si>
  <si>
    <t>──────────────</t>
  </si>
  <si>
    <t>FK user_id</t>
  </si>
  <si>
    <t>aktivitas</t>
  </si>
  <si>
    <t>────────────</t>
  </si>
  <si>
    <t xml:space="preserve">    │1</t>
  </si>
  <si>
    <t xml:space="preserve">    │N</t>
  </si>
  <si>
    <t>──────────</t>
  </si>
  <si>
    <t>FK periode_id</t>
  </si>
  <si>
    <t xml:space="preserve">    ├──────────────┐</t>
  </si>
  <si>
    <t xml:space="preserve">    │              │</t>
  </si>
  <si>
    <t xml:space="preserve">    │1             │N</t>
  </si>
  <si>
    <t xml:space="preserve">    ▼              ▼</t>
  </si>
  <si>
    <t>orang_tua      dokumen</t>
  </si>
  <si>
    <t xml:space="preserve">    ▼</t>
  </si>
  <si>
    <t xml:space="preserve">    ▲</t>
  </si>
  <si>
    <t>nama_theme</t>
  </si>
  <si>
    <t>slug</t>
  </si>
  <si>
    <t>preview</t>
  </si>
  <si>
    <t>is_active</t>
  </si>
  <si>
    <t xml:space="preserve">      │1</t>
  </si>
  <si>
    <t xml:space="preserve">      │</t>
  </si>
  <si>
    <t xml:space="preserve">      │N</t>
  </si>
  <si>
    <t>theme_assets</t>
  </si>
  <si>
    <t>FK theme_id</t>
  </si>
  <si>
    <t>jenis</t>
  </si>
  <si>
    <t>nama_file</t>
  </si>
  <si>
    <t>urutan</t>
  </si>
  <si>
    <t>tabel</t>
  </si>
  <si>
    <t>hasil</t>
  </si>
  <si>
    <t>pendaftara</t>
  </si>
  <si>
    <t>setiap atribut menyimpan satu nilai</t>
  </si>
  <si>
    <t>data pribadi dipisahkan dalam atribut yang berbeda</t>
  </si>
  <si>
    <t>setiap kolom memiliki satu jenis data</t>
  </si>
  <si>
    <t>Jumlah Tabel</t>
  </si>
  <si>
    <t>roles, users, activity_logs</t>
  </si>
  <si>
    <t>profil_sekolah, jurusan, guru, berita, galeri</t>
  </si>
  <si>
    <t>periode_ppdb, pendaftar, orang_tua</t>
  </si>
  <si>
    <t>kriteria, bobot, hasil_rekomendasi</t>
  </si>
  <si>
    <t>themes, theme_assets</t>
  </si>
  <si>
    <t>Komponen</t>
  </si>
  <si>
    <t>Teknologi</t>
  </si>
  <si>
    <t>Framework</t>
  </si>
  <si>
    <t>Laravel 12</t>
  </si>
  <si>
    <t>Bahasa Pemrograman</t>
  </si>
  <si>
    <t>PHP 8.2+</t>
  </si>
  <si>
    <t>Database Management System</t>
  </si>
  <si>
    <t>MySQL (TiDB Cloud)</t>
  </si>
  <si>
    <t>Database Client</t>
  </si>
  <si>
    <t>MySQL Workbench / DBeaver</t>
  </si>
  <si>
    <t>Web Server</t>
  </si>
  <si>
    <t>Apache (Laragon/XAMPP)</t>
  </si>
  <si>
    <t>Version Control</t>
  </si>
  <si>
    <t>GitHub</t>
  </si>
  <si>
    <t>Sistem Operasi</t>
  </si>
  <si>
    <t>Windows 11</t>
  </si>
  <si>
    <t>Tahap</t>
  </si>
  <si>
    <t>Kegiatan</t>
  </si>
  <si>
    <t>Membuat database pada TiDB Cloud.</t>
  </si>
  <si>
    <r>
      <t xml:space="preserve">Mengonfigurasi koneksi database pada Laravel melalui file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>.</t>
    </r>
  </si>
  <si>
    <t>Membuat migration seluruh tabel berdasarkan Data Dictionary.</t>
  </si>
  <si>
    <t>Menjalankan migration untuk membentuk struktur basis data.</t>
  </si>
  <si>
    <t>Membuat model Eloquent beserta relasinya.</t>
  </si>
  <si>
    <t>Membuat seeder untuk data awal.</t>
  </si>
  <si>
    <t>Melakukan pengujian CRUD pada setiap tabel.</t>
  </si>
  <si>
    <t>Mengintegrasikan basis data dengan modul Website Profil, PPDB, OCR, SPK, dan Theme Manager.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</si>
</sst>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3" borderId="3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4EB6-EB9A-46BF-B4BB-2A1260F281B8}">
  <dimension ref="A1:E56"/>
  <sheetViews>
    <sheetView topLeftCell="A50" workbookViewId="0">
      <selection sqref="A1:E56"/>
    </sheetView>
  </sheetViews>
  <sheetFormatPr defaultRowHeight="14.5"/>
  <cols>
    <col min="1" max="1" width="3.7265625" style="1" customWidth="1"/>
    <col min="2" max="2" width="12.1796875" style="1" bestFit="1" customWidth="1"/>
    <col min="3" max="3" width="14.54296875" style="1" bestFit="1" customWidth="1"/>
    <col min="4" max="4" width="21.26953125" style="3" customWidth="1"/>
    <col min="5" max="5" width="8.7265625" style="2"/>
    <col min="6" max="16384" width="8.7265625" style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 ht="45" customHeight="1">
      <c r="A2" s="7" cm="1">
        <f t="array" ref="A2:A56">_xlfn.SEQUENCE(55)</f>
        <v>1</v>
      </c>
      <c r="B2" s="7" t="s">
        <v>5</v>
      </c>
      <c r="C2" s="7" t="s">
        <v>14</v>
      </c>
      <c r="D2" s="8" t="s">
        <v>19</v>
      </c>
      <c r="E2" s="9" t="s">
        <v>74</v>
      </c>
    </row>
    <row r="3" spans="1:5" ht="43.5">
      <c r="A3" s="7">
        <v>2</v>
      </c>
      <c r="B3" s="7" t="s">
        <v>6</v>
      </c>
      <c r="C3" s="7" t="s">
        <v>14</v>
      </c>
      <c r="D3" s="8" t="s">
        <v>20</v>
      </c>
      <c r="E3" s="9" t="s">
        <v>74</v>
      </c>
    </row>
    <row r="4" spans="1:5" ht="43.5">
      <c r="A4" s="7">
        <v>3</v>
      </c>
      <c r="B4" s="7" t="s">
        <v>7</v>
      </c>
      <c r="C4" s="7" t="s">
        <v>14</v>
      </c>
      <c r="D4" s="8" t="s">
        <v>21</v>
      </c>
      <c r="E4" s="9" t="s">
        <v>74</v>
      </c>
    </row>
    <row r="5" spans="1:5" ht="43.5">
      <c r="A5" s="7">
        <v>4</v>
      </c>
      <c r="B5" s="7" t="s">
        <v>8</v>
      </c>
      <c r="C5" s="7" t="s">
        <v>14</v>
      </c>
      <c r="D5" s="8" t="s">
        <v>22</v>
      </c>
      <c r="E5" s="9" t="s">
        <v>74</v>
      </c>
    </row>
    <row r="6" spans="1:5" ht="58">
      <c r="A6" s="7">
        <v>5</v>
      </c>
      <c r="B6" s="7" t="s">
        <v>9</v>
      </c>
      <c r="C6" s="7" t="s">
        <v>14</v>
      </c>
      <c r="D6" s="8" t="s">
        <v>23</v>
      </c>
      <c r="E6" s="9" t="s">
        <v>74</v>
      </c>
    </row>
    <row r="7" spans="1:5" ht="43.5">
      <c r="A7" s="7">
        <v>6</v>
      </c>
      <c r="B7" s="7" t="s">
        <v>10</v>
      </c>
      <c r="C7" s="7" t="s">
        <v>14</v>
      </c>
      <c r="D7" s="8" t="s">
        <v>24</v>
      </c>
      <c r="E7" s="9" t="s">
        <v>74</v>
      </c>
    </row>
    <row r="8" spans="1:5" ht="43.5">
      <c r="A8" s="7">
        <v>7</v>
      </c>
      <c r="B8" s="7" t="s">
        <v>11</v>
      </c>
      <c r="C8" s="7" t="s">
        <v>14</v>
      </c>
      <c r="D8" s="8" t="s">
        <v>25</v>
      </c>
      <c r="E8" s="9" t="s">
        <v>74</v>
      </c>
    </row>
    <row r="9" spans="1:5" ht="43.5">
      <c r="A9" s="7">
        <v>8</v>
      </c>
      <c r="B9" s="7" t="s">
        <v>12</v>
      </c>
      <c r="C9" s="7" t="s">
        <v>14</v>
      </c>
      <c r="D9" s="8" t="s">
        <v>26</v>
      </c>
      <c r="E9" s="9" t="s">
        <v>74</v>
      </c>
    </row>
    <row r="10" spans="1:5" ht="72.5">
      <c r="A10" s="7">
        <v>9</v>
      </c>
      <c r="B10" s="7" t="s">
        <v>13</v>
      </c>
      <c r="C10" s="7" t="s">
        <v>14</v>
      </c>
      <c r="D10" s="8" t="s">
        <v>27</v>
      </c>
      <c r="E10" s="9" t="s">
        <v>74</v>
      </c>
    </row>
    <row r="11" spans="1:5" ht="58">
      <c r="A11" s="7">
        <v>10</v>
      </c>
      <c r="B11" s="7" t="s">
        <v>88</v>
      </c>
      <c r="C11" s="7" t="s">
        <v>15</v>
      </c>
      <c r="D11" s="8" t="s">
        <v>28</v>
      </c>
      <c r="E11" s="9" t="s">
        <v>74</v>
      </c>
    </row>
    <row r="12" spans="1:5" ht="43.5">
      <c r="A12" s="7">
        <v>11</v>
      </c>
      <c r="B12" s="7" t="s">
        <v>89</v>
      </c>
      <c r="C12" s="7" t="s">
        <v>15</v>
      </c>
      <c r="D12" s="8" t="s">
        <v>29</v>
      </c>
      <c r="E12" s="9" t="s">
        <v>74</v>
      </c>
    </row>
    <row r="13" spans="1:5" ht="43.5">
      <c r="A13" s="7">
        <v>12</v>
      </c>
      <c r="B13" s="7" t="s">
        <v>90</v>
      </c>
      <c r="C13" s="7" t="s">
        <v>15</v>
      </c>
      <c r="D13" s="8" t="s">
        <v>30</v>
      </c>
      <c r="E13" s="9" t="s">
        <v>74</v>
      </c>
    </row>
    <row r="14" spans="1:5" ht="43.5">
      <c r="A14" s="7">
        <v>13</v>
      </c>
      <c r="B14" s="7" t="s">
        <v>91</v>
      </c>
      <c r="C14" s="7" t="s">
        <v>15</v>
      </c>
      <c r="D14" s="8" t="s">
        <v>31</v>
      </c>
      <c r="E14" s="9" t="s">
        <v>74</v>
      </c>
    </row>
    <row r="15" spans="1:5" ht="43.5">
      <c r="A15" s="7">
        <v>14</v>
      </c>
      <c r="B15" s="7" t="s">
        <v>92</v>
      </c>
      <c r="C15" s="7" t="s">
        <v>15</v>
      </c>
      <c r="D15" s="8" t="s">
        <v>32</v>
      </c>
      <c r="E15" s="9" t="s">
        <v>74</v>
      </c>
    </row>
    <row r="16" spans="1:5" ht="43.5">
      <c r="A16" s="7">
        <v>15</v>
      </c>
      <c r="B16" s="7" t="s">
        <v>93</v>
      </c>
      <c r="C16" s="7" t="s">
        <v>15</v>
      </c>
      <c r="D16" s="8" t="s">
        <v>33</v>
      </c>
      <c r="E16" s="9" t="s">
        <v>74</v>
      </c>
    </row>
    <row r="17" spans="1:5" ht="43.5">
      <c r="A17" s="7">
        <v>16</v>
      </c>
      <c r="B17" s="7" t="s">
        <v>94</v>
      </c>
      <c r="C17" s="7" t="s">
        <v>15</v>
      </c>
      <c r="D17" s="8" t="s">
        <v>34</v>
      </c>
      <c r="E17" s="9" t="s">
        <v>74</v>
      </c>
    </row>
    <row r="18" spans="1:5" ht="58">
      <c r="A18" s="7">
        <v>17</v>
      </c>
      <c r="B18" s="7" t="s">
        <v>95</v>
      </c>
      <c r="C18" s="7" t="s">
        <v>15</v>
      </c>
      <c r="D18" s="8" t="s">
        <v>35</v>
      </c>
      <c r="E18" s="9" t="s">
        <v>74</v>
      </c>
    </row>
    <row r="19" spans="1:5" ht="43.5">
      <c r="A19" s="7">
        <v>18</v>
      </c>
      <c r="B19" s="7" t="s">
        <v>96</v>
      </c>
      <c r="C19" s="7" t="s">
        <v>15</v>
      </c>
      <c r="D19" s="8" t="s">
        <v>36</v>
      </c>
      <c r="E19" s="9" t="s">
        <v>74</v>
      </c>
    </row>
    <row r="20" spans="1:5" ht="43.5">
      <c r="A20" s="7">
        <v>19</v>
      </c>
      <c r="B20" s="7" t="s">
        <v>79</v>
      </c>
      <c r="C20" s="7" t="s">
        <v>15</v>
      </c>
      <c r="D20" s="8" t="s">
        <v>37</v>
      </c>
      <c r="E20" s="9" t="s">
        <v>74</v>
      </c>
    </row>
    <row r="21" spans="1:5" ht="72.5">
      <c r="A21" s="7">
        <v>20</v>
      </c>
      <c r="B21" s="7" t="s">
        <v>80</v>
      </c>
      <c r="C21" s="7" t="s">
        <v>15</v>
      </c>
      <c r="D21" s="8" t="s">
        <v>38</v>
      </c>
      <c r="E21" s="9" t="s">
        <v>75</v>
      </c>
    </row>
    <row r="22" spans="1:5" ht="43.5">
      <c r="A22" s="7">
        <v>21</v>
      </c>
      <c r="B22" s="7" t="s">
        <v>81</v>
      </c>
      <c r="C22" s="7" t="s">
        <v>15</v>
      </c>
      <c r="D22" s="8" t="s">
        <v>39</v>
      </c>
      <c r="E22" s="9" t="s">
        <v>74</v>
      </c>
    </row>
    <row r="23" spans="1:5" ht="43.5">
      <c r="A23" s="7">
        <v>22</v>
      </c>
      <c r="B23" s="7" t="s">
        <v>82</v>
      </c>
      <c r="C23" s="7" t="s">
        <v>15</v>
      </c>
      <c r="D23" s="8" t="s">
        <v>40</v>
      </c>
      <c r="E23" s="9" t="s">
        <v>74</v>
      </c>
    </row>
    <row r="24" spans="1:5" ht="58">
      <c r="A24" s="7">
        <v>23</v>
      </c>
      <c r="B24" s="7" t="s">
        <v>83</v>
      </c>
      <c r="C24" s="7" t="s">
        <v>15</v>
      </c>
      <c r="D24" s="8" t="s">
        <v>41</v>
      </c>
      <c r="E24" s="9" t="s">
        <v>74</v>
      </c>
    </row>
    <row r="25" spans="1:5" ht="58">
      <c r="A25" s="7">
        <v>24</v>
      </c>
      <c r="B25" s="7" t="s">
        <v>84</v>
      </c>
      <c r="C25" s="7" t="s">
        <v>15</v>
      </c>
      <c r="D25" s="8" t="s">
        <v>42</v>
      </c>
      <c r="E25" s="9" t="s">
        <v>75</v>
      </c>
    </row>
    <row r="26" spans="1:5" ht="72.5">
      <c r="A26" s="7">
        <v>25</v>
      </c>
      <c r="B26" s="7" t="s">
        <v>85</v>
      </c>
      <c r="C26" s="7" t="s">
        <v>15</v>
      </c>
      <c r="D26" s="8" t="s">
        <v>43</v>
      </c>
      <c r="E26" s="9" t="s">
        <v>74</v>
      </c>
    </row>
    <row r="27" spans="1:5" ht="72.5">
      <c r="A27" s="7">
        <v>26</v>
      </c>
      <c r="B27" s="7" t="s">
        <v>86</v>
      </c>
      <c r="C27" s="7" t="s">
        <v>15</v>
      </c>
      <c r="D27" s="8" t="s">
        <v>44</v>
      </c>
      <c r="E27" s="9" t="s">
        <v>75</v>
      </c>
    </row>
    <row r="28" spans="1:5" ht="29">
      <c r="A28" s="7">
        <v>27</v>
      </c>
      <c r="B28" s="7" t="s">
        <v>97</v>
      </c>
      <c r="C28" s="7" t="s">
        <v>87</v>
      </c>
      <c r="D28" s="8" t="s">
        <v>45</v>
      </c>
      <c r="E28" s="9" t="s">
        <v>76</v>
      </c>
    </row>
    <row r="29" spans="1:5" ht="29">
      <c r="A29" s="7">
        <v>28</v>
      </c>
      <c r="B29" s="7" t="s">
        <v>98</v>
      </c>
      <c r="C29" s="7" t="s">
        <v>87</v>
      </c>
      <c r="D29" s="8" t="s">
        <v>46</v>
      </c>
      <c r="E29" s="9" t="s">
        <v>76</v>
      </c>
    </row>
    <row r="30" spans="1:5" ht="29">
      <c r="A30" s="7">
        <v>29</v>
      </c>
      <c r="B30" s="7" t="s">
        <v>99</v>
      </c>
      <c r="C30" s="7" t="s">
        <v>87</v>
      </c>
      <c r="D30" s="8" t="s">
        <v>47</v>
      </c>
      <c r="E30" s="9" t="s">
        <v>76</v>
      </c>
    </row>
    <row r="31" spans="1:5" ht="72.5">
      <c r="A31" s="7">
        <v>30</v>
      </c>
      <c r="B31" s="7" t="s">
        <v>100</v>
      </c>
      <c r="C31" s="7" t="s">
        <v>87</v>
      </c>
      <c r="D31" s="8" t="s">
        <v>48</v>
      </c>
      <c r="E31" s="9" t="s">
        <v>75</v>
      </c>
    </row>
    <row r="32" spans="1:5" ht="58">
      <c r="A32" s="7">
        <v>31</v>
      </c>
      <c r="B32" s="7" t="s">
        <v>101</v>
      </c>
      <c r="C32" s="7" t="s">
        <v>87</v>
      </c>
      <c r="D32" s="8" t="s">
        <v>51</v>
      </c>
      <c r="E32" s="9" t="s">
        <v>74</v>
      </c>
    </row>
    <row r="33" spans="1:5" ht="58">
      <c r="A33" s="7">
        <v>32</v>
      </c>
      <c r="B33" s="7" t="s">
        <v>102</v>
      </c>
      <c r="C33" s="7" t="s">
        <v>87</v>
      </c>
      <c r="D33" s="8" t="s">
        <v>49</v>
      </c>
      <c r="E33" s="9" t="s">
        <v>76</v>
      </c>
    </row>
    <row r="34" spans="1:5" ht="43.5">
      <c r="A34" s="7">
        <v>33</v>
      </c>
      <c r="B34" s="7" t="s">
        <v>103</v>
      </c>
      <c r="C34" s="7" t="s">
        <v>16</v>
      </c>
      <c r="D34" s="8" t="s">
        <v>50</v>
      </c>
      <c r="E34" s="9" t="s">
        <v>76</v>
      </c>
    </row>
    <row r="35" spans="1:5" ht="29">
      <c r="A35" s="7">
        <v>34</v>
      </c>
      <c r="B35" s="7" t="s">
        <v>104</v>
      </c>
      <c r="C35" s="7" t="s">
        <v>16</v>
      </c>
      <c r="D35" s="8" t="s">
        <v>52</v>
      </c>
      <c r="E35" s="9" t="s">
        <v>76</v>
      </c>
    </row>
    <row r="36" spans="1:5" ht="29">
      <c r="A36" s="7">
        <v>35</v>
      </c>
      <c r="B36" s="7" t="s">
        <v>105</v>
      </c>
      <c r="C36" s="7" t="s">
        <v>16</v>
      </c>
      <c r="D36" s="8" t="s">
        <v>53</v>
      </c>
      <c r="E36" s="9" t="s">
        <v>76</v>
      </c>
    </row>
    <row r="37" spans="1:5" ht="58">
      <c r="A37" s="7">
        <v>36</v>
      </c>
      <c r="B37" s="7" t="s">
        <v>106</v>
      </c>
      <c r="C37" s="7" t="s">
        <v>16</v>
      </c>
      <c r="D37" s="8" t="s">
        <v>54</v>
      </c>
      <c r="E37" s="9" t="s">
        <v>76</v>
      </c>
    </row>
    <row r="38" spans="1:5" ht="43.5">
      <c r="A38" s="7">
        <v>37</v>
      </c>
      <c r="B38" s="7" t="s">
        <v>107</v>
      </c>
      <c r="C38" s="7" t="s">
        <v>16</v>
      </c>
      <c r="D38" s="8" t="s">
        <v>55</v>
      </c>
      <c r="E38" s="9" t="s">
        <v>76</v>
      </c>
    </row>
    <row r="39" spans="1:5" ht="58">
      <c r="A39" s="7">
        <v>38</v>
      </c>
      <c r="B39" s="7" t="s">
        <v>108</v>
      </c>
      <c r="C39" s="7" t="s">
        <v>17</v>
      </c>
      <c r="D39" s="8" t="s">
        <v>56</v>
      </c>
      <c r="E39" s="9" t="s">
        <v>77</v>
      </c>
    </row>
    <row r="40" spans="1:5" ht="29">
      <c r="A40" s="7">
        <v>39</v>
      </c>
      <c r="B40" s="7" t="s">
        <v>109</v>
      </c>
      <c r="C40" s="7" t="s">
        <v>17</v>
      </c>
      <c r="D40" s="8" t="s">
        <v>57</v>
      </c>
      <c r="E40" s="9" t="s">
        <v>76</v>
      </c>
    </row>
    <row r="41" spans="1:5" ht="29">
      <c r="A41" s="7">
        <v>40</v>
      </c>
      <c r="B41" s="7" t="s">
        <v>110</v>
      </c>
      <c r="C41" s="7" t="s">
        <v>17</v>
      </c>
      <c r="D41" s="8" t="s">
        <v>58</v>
      </c>
      <c r="E41" s="9" t="s">
        <v>76</v>
      </c>
    </row>
    <row r="42" spans="1:5" ht="29">
      <c r="A42" s="7">
        <v>41</v>
      </c>
      <c r="B42" s="7" t="s">
        <v>111</v>
      </c>
      <c r="C42" s="7" t="s">
        <v>17</v>
      </c>
      <c r="D42" s="8" t="s">
        <v>59</v>
      </c>
      <c r="E42" s="9" t="s">
        <v>76</v>
      </c>
    </row>
    <row r="43" spans="1:5" ht="43.5">
      <c r="A43" s="7">
        <v>42</v>
      </c>
      <c r="B43" s="7" t="s">
        <v>112</v>
      </c>
      <c r="C43" s="7" t="s">
        <v>17</v>
      </c>
      <c r="D43" s="8" t="s">
        <v>60</v>
      </c>
      <c r="E43" s="9" t="s">
        <v>76</v>
      </c>
    </row>
    <row r="44" spans="1:5" ht="29">
      <c r="A44" s="7">
        <v>43</v>
      </c>
      <c r="B44" s="7" t="s">
        <v>113</v>
      </c>
      <c r="C44" s="7" t="s">
        <v>17</v>
      </c>
      <c r="D44" s="8" t="s">
        <v>61</v>
      </c>
      <c r="E44" s="9" t="s">
        <v>76</v>
      </c>
    </row>
    <row r="45" spans="1:5" ht="29">
      <c r="A45" s="7">
        <v>44</v>
      </c>
      <c r="B45" s="7" t="s">
        <v>114</v>
      </c>
      <c r="C45" s="7" t="s">
        <v>17</v>
      </c>
      <c r="D45" s="8" t="s">
        <v>62</v>
      </c>
      <c r="E45" s="9" t="s">
        <v>76</v>
      </c>
    </row>
    <row r="46" spans="1:5" ht="29">
      <c r="A46" s="7">
        <v>45</v>
      </c>
      <c r="B46" s="7" t="s">
        <v>115</v>
      </c>
      <c r="C46" s="7" t="s">
        <v>17</v>
      </c>
      <c r="D46" s="8" t="s">
        <v>63</v>
      </c>
      <c r="E46" s="9" t="s">
        <v>76</v>
      </c>
    </row>
    <row r="47" spans="1:5" ht="43.5">
      <c r="A47" s="7">
        <v>46</v>
      </c>
      <c r="B47" s="7" t="s">
        <v>116</v>
      </c>
      <c r="C47" s="7" t="s">
        <v>17</v>
      </c>
      <c r="D47" s="8" t="s">
        <v>64</v>
      </c>
      <c r="E47" s="9" t="s">
        <v>76</v>
      </c>
    </row>
    <row r="48" spans="1:5" ht="29">
      <c r="A48" s="7">
        <v>47</v>
      </c>
      <c r="B48" s="7" t="s">
        <v>117</v>
      </c>
      <c r="C48" s="7" t="s">
        <v>17</v>
      </c>
      <c r="D48" s="8" t="s">
        <v>65</v>
      </c>
      <c r="E48" s="9" t="s">
        <v>76</v>
      </c>
    </row>
    <row r="49" spans="1:5" ht="43.5">
      <c r="A49" s="7">
        <v>48</v>
      </c>
      <c r="B49" s="7" t="s">
        <v>118</v>
      </c>
      <c r="C49" s="7" t="s">
        <v>17</v>
      </c>
      <c r="D49" s="8" t="s">
        <v>66</v>
      </c>
      <c r="E49" s="9" t="s">
        <v>76</v>
      </c>
    </row>
    <row r="50" spans="1:5" ht="58">
      <c r="A50" s="7">
        <v>49</v>
      </c>
      <c r="B50" s="7" t="s">
        <v>119</v>
      </c>
      <c r="C50" s="7" t="s">
        <v>17</v>
      </c>
      <c r="D50" s="8" t="s">
        <v>67</v>
      </c>
      <c r="E50" s="9" t="s">
        <v>76</v>
      </c>
    </row>
    <row r="51" spans="1:5" ht="29">
      <c r="A51" s="7">
        <v>50</v>
      </c>
      <c r="B51" s="7" t="s">
        <v>120</v>
      </c>
      <c r="C51" s="7" t="s">
        <v>18</v>
      </c>
      <c r="D51" s="8" t="s">
        <v>68</v>
      </c>
      <c r="E51" s="9" t="s">
        <v>78</v>
      </c>
    </row>
    <row r="52" spans="1:5" ht="29">
      <c r="A52" s="7">
        <v>51</v>
      </c>
      <c r="B52" s="7" t="s">
        <v>121</v>
      </c>
      <c r="C52" s="7" t="s">
        <v>18</v>
      </c>
      <c r="D52" s="8" t="s">
        <v>69</v>
      </c>
      <c r="E52" s="9" t="s">
        <v>78</v>
      </c>
    </row>
    <row r="53" spans="1:5" ht="29">
      <c r="A53" s="7">
        <v>52</v>
      </c>
      <c r="B53" s="7" t="s">
        <v>122</v>
      </c>
      <c r="C53" s="7" t="s">
        <v>18</v>
      </c>
      <c r="D53" s="8" t="s">
        <v>70</v>
      </c>
      <c r="E53" s="9" t="s">
        <v>78</v>
      </c>
    </row>
    <row r="54" spans="1:5" ht="43.5">
      <c r="A54" s="7">
        <v>53</v>
      </c>
      <c r="B54" s="7" t="s">
        <v>123</v>
      </c>
      <c r="C54" s="7" t="s">
        <v>18</v>
      </c>
      <c r="D54" s="8" t="s">
        <v>71</v>
      </c>
      <c r="E54" s="9" t="s">
        <v>78</v>
      </c>
    </row>
    <row r="55" spans="1:5" ht="43.5">
      <c r="A55" s="7">
        <v>54</v>
      </c>
      <c r="B55" s="7" t="s">
        <v>124</v>
      </c>
      <c r="C55" s="7" t="s">
        <v>18</v>
      </c>
      <c r="D55" s="8" t="s">
        <v>72</v>
      </c>
      <c r="E55" s="9" t="s">
        <v>78</v>
      </c>
    </row>
    <row r="56" spans="1:5" ht="43.5">
      <c r="A56" s="7">
        <v>55</v>
      </c>
      <c r="B56" s="7" t="s">
        <v>125</v>
      </c>
      <c r="C56" s="7" t="s">
        <v>18</v>
      </c>
      <c r="D56" s="8" t="s">
        <v>73</v>
      </c>
      <c r="E56" s="9" t="s">
        <v>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D4F0-4EA5-4C3F-90C7-0E9A55244F77}">
  <dimension ref="A1:D11"/>
  <sheetViews>
    <sheetView topLeftCell="A6" workbookViewId="0">
      <selection sqref="A1:D11"/>
    </sheetView>
  </sheetViews>
  <sheetFormatPr defaultRowHeight="14.5"/>
  <cols>
    <col min="1" max="1" width="3.1796875" bestFit="1" customWidth="1"/>
    <col min="3" max="3" width="14.6328125" customWidth="1"/>
    <col min="4" max="4" width="26.54296875" style="10" customWidth="1"/>
  </cols>
  <sheetData>
    <row r="1" spans="1:4">
      <c r="A1" s="4" t="s">
        <v>0</v>
      </c>
      <c r="B1" s="4" t="s">
        <v>1</v>
      </c>
      <c r="C1" s="4" t="s">
        <v>126</v>
      </c>
      <c r="D1" s="5" t="s">
        <v>127</v>
      </c>
    </row>
    <row r="2" spans="1:4" ht="43.5">
      <c r="A2" s="7" cm="1">
        <f t="array" ref="A2:A11">_xlfn.SEQUENCE(10)</f>
        <v>1</v>
      </c>
      <c r="B2" s="7" t="s">
        <v>128</v>
      </c>
      <c r="C2" s="7" t="s">
        <v>138</v>
      </c>
      <c r="D2" s="8" t="s">
        <v>148</v>
      </c>
    </row>
    <row r="3" spans="1:4" ht="29">
      <c r="A3" s="7">
        <v>2</v>
      </c>
      <c r="B3" s="7" t="s">
        <v>129</v>
      </c>
      <c r="C3" s="7" t="s">
        <v>139</v>
      </c>
      <c r="D3" s="8" t="s">
        <v>149</v>
      </c>
    </row>
    <row r="4" spans="1:4" ht="43.5">
      <c r="A4" s="7">
        <v>3</v>
      </c>
      <c r="B4" s="7" t="s">
        <v>130</v>
      </c>
      <c r="C4" s="7" t="s">
        <v>140</v>
      </c>
      <c r="D4" s="8" t="s">
        <v>150</v>
      </c>
    </row>
    <row r="5" spans="1:4" ht="29">
      <c r="A5" s="7">
        <v>4</v>
      </c>
      <c r="B5" s="7" t="s">
        <v>131</v>
      </c>
      <c r="C5" s="7" t="s">
        <v>141</v>
      </c>
      <c r="D5" s="8" t="s">
        <v>151</v>
      </c>
    </row>
    <row r="6" spans="1:4" ht="43.5">
      <c r="A6" s="7">
        <v>5</v>
      </c>
      <c r="B6" s="7" t="s">
        <v>132</v>
      </c>
      <c r="C6" s="7" t="s">
        <v>141</v>
      </c>
      <c r="D6" s="8" t="s">
        <v>152</v>
      </c>
    </row>
    <row r="7" spans="1:4" ht="29">
      <c r="A7" s="7">
        <v>6</v>
      </c>
      <c r="B7" s="7" t="s">
        <v>133</v>
      </c>
      <c r="C7" s="7" t="s">
        <v>142</v>
      </c>
      <c r="D7" s="8" t="s">
        <v>153</v>
      </c>
    </row>
    <row r="8" spans="1:4" ht="58">
      <c r="A8" s="7">
        <v>7</v>
      </c>
      <c r="B8" s="7" t="s">
        <v>134</v>
      </c>
      <c r="C8" s="7" t="s">
        <v>143</v>
      </c>
      <c r="D8" s="8" t="s">
        <v>154</v>
      </c>
    </row>
    <row r="9" spans="1:4" ht="43.5">
      <c r="A9" s="7">
        <v>8</v>
      </c>
      <c r="B9" s="7" t="s">
        <v>135</v>
      </c>
      <c r="C9" s="7" t="s">
        <v>144</v>
      </c>
      <c r="D9" s="8" t="s">
        <v>155</v>
      </c>
    </row>
    <row r="10" spans="1:4" ht="43.5">
      <c r="A10" s="7">
        <v>9</v>
      </c>
      <c r="B10" s="7" t="s">
        <v>136</v>
      </c>
      <c r="C10" s="7" t="s">
        <v>145</v>
      </c>
      <c r="D10" s="8" t="s">
        <v>156</v>
      </c>
    </row>
    <row r="11" spans="1:4" ht="43.5">
      <c r="A11" s="7">
        <v>10</v>
      </c>
      <c r="B11" s="7" t="s">
        <v>137</v>
      </c>
      <c r="C11" s="7" t="s">
        <v>146</v>
      </c>
      <c r="D11" s="8" t="s">
        <v>147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5CF2-D142-4B19-814A-01AD50BCEF74}">
  <dimension ref="A1:B12"/>
  <sheetViews>
    <sheetView workbookViewId="0">
      <selection sqref="A1:B12"/>
    </sheetView>
  </sheetViews>
  <sheetFormatPr defaultRowHeight="14.5"/>
  <cols>
    <col min="1" max="1" width="14.54296875" style="14" bestFit="1" customWidth="1"/>
    <col min="2" max="2" width="43.81640625" style="18" customWidth="1"/>
  </cols>
  <sheetData>
    <row r="1" spans="1:2" s="11" customFormat="1">
      <c r="A1" s="15" t="s">
        <v>157</v>
      </c>
      <c r="B1" s="16" t="s">
        <v>158</v>
      </c>
    </row>
    <row r="2" spans="1:2" ht="58">
      <c r="A2" s="13" t="s">
        <v>159</v>
      </c>
      <c r="B2" s="12" t="s">
        <v>164</v>
      </c>
    </row>
    <row r="3" spans="1:2" ht="29">
      <c r="A3" s="13" t="s">
        <v>15</v>
      </c>
      <c r="B3" s="17" t="s">
        <v>165</v>
      </c>
    </row>
    <row r="4" spans="1:2" ht="43.5">
      <c r="A4" s="13" t="s">
        <v>160</v>
      </c>
      <c r="B4" s="17" t="s">
        <v>166</v>
      </c>
    </row>
    <row r="5" spans="1:2" ht="43.5">
      <c r="A5" s="13" t="s">
        <v>87</v>
      </c>
      <c r="B5" s="17" t="s">
        <v>167</v>
      </c>
    </row>
    <row r="6" spans="1:2" ht="43.5">
      <c r="A6" s="13" t="s">
        <v>161</v>
      </c>
      <c r="B6" s="12" t="s">
        <v>168</v>
      </c>
    </row>
    <row r="7" spans="1:2" ht="43.5">
      <c r="A7" s="13" t="s">
        <v>16</v>
      </c>
      <c r="B7" s="17" t="s">
        <v>169</v>
      </c>
    </row>
    <row r="8" spans="1:2" ht="29">
      <c r="A8" s="13" t="s">
        <v>17</v>
      </c>
      <c r="B8" s="17" t="s">
        <v>170</v>
      </c>
    </row>
    <row r="9" spans="1:2" ht="29">
      <c r="A9" s="13" t="s">
        <v>74</v>
      </c>
      <c r="B9" s="17" t="s">
        <v>171</v>
      </c>
    </row>
    <row r="10" spans="1:2" ht="29">
      <c r="A10" s="13" t="s">
        <v>162</v>
      </c>
      <c r="B10" s="17" t="s">
        <v>172</v>
      </c>
    </row>
    <row r="11" spans="1:2" ht="43.5">
      <c r="A11" s="13" t="s">
        <v>18</v>
      </c>
      <c r="B11" s="17" t="s">
        <v>173</v>
      </c>
    </row>
    <row r="12" spans="1:2" ht="43.5">
      <c r="A12" s="13" t="s">
        <v>163</v>
      </c>
      <c r="B12" s="12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C606-BD29-43CF-A1EA-60608A6E0642}">
  <dimension ref="A1:C7"/>
  <sheetViews>
    <sheetView workbookViewId="0">
      <selection sqref="A1:C7"/>
    </sheetView>
  </sheetViews>
  <sheetFormatPr defaultRowHeight="14.5"/>
  <cols>
    <col min="1" max="1" width="3.1796875" bestFit="1" customWidth="1"/>
    <col min="2" max="2" width="14.54296875" bestFit="1" customWidth="1"/>
    <col min="3" max="3" width="31.81640625" style="10" customWidth="1"/>
  </cols>
  <sheetData>
    <row r="1" spans="1:3">
      <c r="A1" s="19" t="s">
        <v>0</v>
      </c>
      <c r="B1" s="19" t="s">
        <v>2</v>
      </c>
      <c r="C1" s="20" t="s">
        <v>175</v>
      </c>
    </row>
    <row r="2" spans="1:3" ht="28" customHeight="1">
      <c r="A2" s="13" cm="1">
        <f t="array" ref="A2:A7">_xlfn.SEQUENCE(6)</f>
        <v>1</v>
      </c>
      <c r="B2" s="13" t="s">
        <v>176</v>
      </c>
      <c r="C2" s="8" t="s">
        <v>180</v>
      </c>
    </row>
    <row r="3" spans="1:3">
      <c r="A3" s="13">
        <v>2</v>
      </c>
      <c r="B3" s="13" t="s">
        <v>177</v>
      </c>
      <c r="C3" s="8" t="s">
        <v>181</v>
      </c>
    </row>
    <row r="4" spans="1:3" ht="29">
      <c r="A4" s="13">
        <v>3</v>
      </c>
      <c r="B4" s="13" t="s">
        <v>178</v>
      </c>
      <c r="C4" s="8" t="s">
        <v>182</v>
      </c>
    </row>
    <row r="5" spans="1:3">
      <c r="A5" s="13">
        <v>4</v>
      </c>
      <c r="B5" s="13" t="s">
        <v>160</v>
      </c>
      <c r="C5" s="8" t="s">
        <v>183</v>
      </c>
    </row>
    <row r="6" spans="1:3" ht="29">
      <c r="A6" s="13">
        <v>5</v>
      </c>
      <c r="B6" s="13" t="s">
        <v>179</v>
      </c>
      <c r="C6" s="8" t="s">
        <v>184</v>
      </c>
    </row>
    <row r="7" spans="1:3">
      <c r="A7" s="13">
        <v>6</v>
      </c>
      <c r="B7" s="13" t="s">
        <v>16</v>
      </c>
      <c r="C7" s="8" t="s">
        <v>185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84B6-CF0E-42BA-9D88-008D1BEE53EC}">
  <dimension ref="A1:C31"/>
  <sheetViews>
    <sheetView workbookViewId="0">
      <selection activeCell="A30" sqref="A30:C31"/>
    </sheetView>
  </sheetViews>
  <sheetFormatPr defaultRowHeight="14.5"/>
  <cols>
    <col min="1" max="1" width="3.1796875" bestFit="1" customWidth="1"/>
    <col min="2" max="2" width="16.54296875" bestFit="1" customWidth="1"/>
    <col min="3" max="3" width="35.26953125" style="10" customWidth="1"/>
  </cols>
  <sheetData>
    <row r="1" spans="1:3">
      <c r="A1" s="21" t="s">
        <v>0</v>
      </c>
      <c r="B1" s="23" t="s">
        <v>186</v>
      </c>
      <c r="C1" s="24" t="s">
        <v>175</v>
      </c>
    </row>
    <row r="2" spans="1:3">
      <c r="A2" s="22" cm="1">
        <f t="array" ref="A2:A4">_xlfn.SEQUENCE(3)</f>
        <v>1</v>
      </c>
      <c r="B2" s="22" t="s">
        <v>187</v>
      </c>
      <c r="C2" s="25" t="s">
        <v>190</v>
      </c>
    </row>
    <row r="3" spans="1:3">
      <c r="A3" s="22">
        <v>2</v>
      </c>
      <c r="B3" s="22" t="s">
        <v>188</v>
      </c>
      <c r="C3" s="25" t="s">
        <v>191</v>
      </c>
    </row>
    <row r="4" spans="1:3">
      <c r="A4" s="22">
        <v>3</v>
      </c>
      <c r="B4" s="22" t="s">
        <v>189</v>
      </c>
      <c r="C4" s="25" t="s">
        <v>192</v>
      </c>
    </row>
    <row r="6" spans="1:3">
      <c r="A6" s="21" t="s">
        <v>0</v>
      </c>
      <c r="B6" s="21" t="s">
        <v>186</v>
      </c>
      <c r="C6" s="24" t="s">
        <v>175</v>
      </c>
    </row>
    <row r="7" spans="1:3">
      <c r="A7" s="22" cm="1">
        <f t="array" ref="A7:A13">_xlfn.SEQUENCE(7)</f>
        <v>1</v>
      </c>
      <c r="B7" s="22" t="s">
        <v>193</v>
      </c>
      <c r="C7" s="25" t="s">
        <v>200</v>
      </c>
    </row>
    <row r="8" spans="1:3">
      <c r="A8" s="22">
        <v>2</v>
      </c>
      <c r="B8" s="22" t="s">
        <v>194</v>
      </c>
      <c r="C8" s="25" t="s">
        <v>201</v>
      </c>
    </row>
    <row r="9" spans="1:3">
      <c r="A9" s="22">
        <v>3</v>
      </c>
      <c r="B9" s="22" t="s">
        <v>195</v>
      </c>
      <c r="C9" s="25" t="s">
        <v>202</v>
      </c>
    </row>
    <row r="10" spans="1:3" ht="29">
      <c r="A10" s="22">
        <v>4</v>
      </c>
      <c r="B10" s="22" t="s">
        <v>196</v>
      </c>
      <c r="C10" s="25" t="s">
        <v>203</v>
      </c>
    </row>
    <row r="11" spans="1:3">
      <c r="A11" s="22">
        <v>5</v>
      </c>
      <c r="B11" s="22" t="s">
        <v>197</v>
      </c>
      <c r="C11" s="25" t="s">
        <v>204</v>
      </c>
    </row>
    <row r="12" spans="1:3">
      <c r="A12" s="22">
        <v>6</v>
      </c>
      <c r="B12" s="22" t="s">
        <v>198</v>
      </c>
      <c r="C12" s="25" t="s">
        <v>205</v>
      </c>
    </row>
    <row r="13" spans="1:3">
      <c r="A13" s="22">
        <v>7</v>
      </c>
      <c r="B13" s="22" t="s">
        <v>199</v>
      </c>
      <c r="C13" s="25" t="s">
        <v>206</v>
      </c>
    </row>
    <row r="15" spans="1:3">
      <c r="A15" s="19" t="s">
        <v>0</v>
      </c>
      <c r="B15" s="19" t="s">
        <v>207</v>
      </c>
      <c r="C15" s="20" t="s">
        <v>175</v>
      </c>
    </row>
    <row r="16" spans="1:3" ht="29">
      <c r="A16" s="26" cm="1">
        <f t="array" ref="A16:A20">_xlfn.SEQUENCE(5)</f>
        <v>1</v>
      </c>
      <c r="B16" s="26" t="s">
        <v>208</v>
      </c>
      <c r="C16" s="17" t="s">
        <v>213</v>
      </c>
    </row>
    <row r="17" spans="1:3" ht="29">
      <c r="A17" s="26">
        <v>2</v>
      </c>
      <c r="B17" s="26" t="s">
        <v>209</v>
      </c>
      <c r="C17" s="17" t="s">
        <v>214</v>
      </c>
    </row>
    <row r="18" spans="1:3">
      <c r="A18" s="26">
        <v>3</v>
      </c>
      <c r="B18" s="26" t="s">
        <v>210</v>
      </c>
      <c r="C18" s="17" t="s">
        <v>215</v>
      </c>
    </row>
    <row r="19" spans="1:3" ht="29">
      <c r="A19" s="26">
        <v>4</v>
      </c>
      <c r="B19" s="26" t="s">
        <v>211</v>
      </c>
      <c r="C19" s="17" t="s">
        <v>216</v>
      </c>
    </row>
    <row r="20" spans="1:3">
      <c r="A20" s="26">
        <v>5</v>
      </c>
      <c r="B20" s="26" t="s">
        <v>212</v>
      </c>
      <c r="C20" s="17" t="s">
        <v>217</v>
      </c>
    </row>
    <row r="22" spans="1:3">
      <c r="A22" s="21" t="s">
        <v>0</v>
      </c>
      <c r="B22" s="19" t="s">
        <v>186</v>
      </c>
      <c r="C22" s="24" t="s">
        <v>175</v>
      </c>
    </row>
    <row r="23" spans="1:3" ht="29">
      <c r="A23" s="26">
        <v>1</v>
      </c>
      <c r="B23" s="26" t="s">
        <v>218</v>
      </c>
      <c r="C23" s="25" t="s">
        <v>219</v>
      </c>
    </row>
    <row r="25" spans="1:3">
      <c r="A25" s="21" t="s">
        <v>0</v>
      </c>
      <c r="B25" s="21" t="s">
        <v>186</v>
      </c>
      <c r="C25" s="24" t="s">
        <v>175</v>
      </c>
    </row>
    <row r="26" spans="1:3">
      <c r="A26" s="22" cm="1">
        <f t="array" ref="A26:A28">_xlfn.SEQUENCE(3)</f>
        <v>1</v>
      </c>
      <c r="B26" s="22" t="s">
        <v>220</v>
      </c>
      <c r="C26" s="25" t="s">
        <v>223</v>
      </c>
    </row>
    <row r="27" spans="1:3">
      <c r="A27" s="22">
        <v>2</v>
      </c>
      <c r="B27" s="22" t="s">
        <v>221</v>
      </c>
      <c r="C27" s="25" t="s">
        <v>223</v>
      </c>
    </row>
    <row r="28" spans="1:3" ht="29">
      <c r="A28" s="26">
        <v>3</v>
      </c>
      <c r="B28" s="26" t="s">
        <v>222</v>
      </c>
      <c r="C28" s="25" t="s">
        <v>224</v>
      </c>
    </row>
    <row r="30" spans="1:3">
      <c r="A30" s="21" t="s">
        <v>0</v>
      </c>
      <c r="B30" s="21" t="s">
        <v>186</v>
      </c>
      <c r="C30" s="24" t="s">
        <v>175</v>
      </c>
    </row>
    <row r="31" spans="1:3" ht="29">
      <c r="A31" s="26">
        <v>1</v>
      </c>
      <c r="B31" s="26" t="s">
        <v>225</v>
      </c>
      <c r="C31" s="25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FF01-2B2C-4A15-B0BC-65723BE18178}">
  <dimension ref="A1:T37"/>
  <sheetViews>
    <sheetView tabSelected="1" topLeftCell="M1" workbookViewId="0">
      <selection activeCell="U2" sqref="U2"/>
    </sheetView>
  </sheetViews>
  <sheetFormatPr defaultRowHeight="14.5"/>
  <cols>
    <col min="1" max="1" width="12.6328125" bestFit="1" customWidth="1"/>
    <col min="2" max="2" width="8.453125" style="1" customWidth="1"/>
    <col min="3" max="3" width="16.54296875" bestFit="1" customWidth="1"/>
    <col min="5" max="5" width="14.90625" bestFit="1" customWidth="1"/>
    <col min="6" max="6" width="20.1796875" bestFit="1" customWidth="1"/>
    <col min="7" max="7" width="14.90625" bestFit="1" customWidth="1"/>
    <col min="9" max="9" width="10.08984375" bestFit="1" customWidth="1"/>
    <col min="10" max="10" width="44.6328125" bestFit="1" customWidth="1"/>
    <col min="12" max="12" width="14.54296875" bestFit="1" customWidth="1"/>
    <col min="13" max="13" width="7.36328125" style="11" customWidth="1"/>
    <col min="14" max="14" width="36.36328125" bestFit="1" customWidth="1"/>
    <col min="16" max="16" width="17.81640625" customWidth="1"/>
    <col min="17" max="17" width="22.81640625" customWidth="1"/>
    <col min="20" max="20" width="15.81640625" customWidth="1"/>
  </cols>
  <sheetData>
    <row r="1" spans="1:20" ht="30" customHeight="1">
      <c r="A1" s="21" t="s">
        <v>227</v>
      </c>
      <c r="B1" s="19" t="s">
        <v>228</v>
      </c>
      <c r="C1" s="21" t="s">
        <v>229</v>
      </c>
      <c r="E1" s="23" t="s">
        <v>187</v>
      </c>
      <c r="F1" s="23" t="s">
        <v>208</v>
      </c>
      <c r="G1" s="31" t="s">
        <v>225</v>
      </c>
      <c r="I1" s="23" t="s">
        <v>271</v>
      </c>
      <c r="J1" s="23" t="s">
        <v>272</v>
      </c>
      <c r="L1" s="19" t="s">
        <v>2</v>
      </c>
      <c r="M1" s="20" t="s">
        <v>277</v>
      </c>
      <c r="N1" s="19" t="s">
        <v>186</v>
      </c>
      <c r="P1" s="20" t="s">
        <v>283</v>
      </c>
      <c r="Q1" s="20" t="s">
        <v>284</v>
      </c>
      <c r="S1" s="20" t="s">
        <v>299</v>
      </c>
      <c r="T1" s="20" t="s">
        <v>300</v>
      </c>
    </row>
    <row r="2" spans="1:20" ht="87">
      <c r="A2" s="22" t="s">
        <v>230</v>
      </c>
      <c r="B2" s="7" t="s">
        <v>231</v>
      </c>
      <c r="C2" s="22" t="s">
        <v>232</v>
      </c>
      <c r="E2" s="28" t="s">
        <v>230</v>
      </c>
      <c r="F2" s="28" t="s">
        <v>208</v>
      </c>
      <c r="G2" s="29" t="s">
        <v>225</v>
      </c>
      <c r="I2" s="22" t="s">
        <v>232</v>
      </c>
      <c r="J2" s="22" t="s">
        <v>274</v>
      </c>
      <c r="L2" s="22" t="s">
        <v>176</v>
      </c>
      <c r="M2" s="32">
        <v>3</v>
      </c>
      <c r="N2" s="22" t="s">
        <v>278</v>
      </c>
      <c r="P2" s="17" t="s">
        <v>285</v>
      </c>
      <c r="Q2" s="17" t="s">
        <v>286</v>
      </c>
      <c r="S2" s="17">
        <v>1</v>
      </c>
      <c r="T2" s="17" t="s">
        <v>301</v>
      </c>
    </row>
    <row r="3" spans="1:20" ht="116">
      <c r="A3" s="22" t="s">
        <v>232</v>
      </c>
      <c r="B3" s="7" t="s">
        <v>231</v>
      </c>
      <c r="C3" s="22" t="s">
        <v>235</v>
      </c>
      <c r="E3" s="29" t="s">
        <v>236</v>
      </c>
      <c r="F3" s="29" t="s">
        <v>247</v>
      </c>
      <c r="G3" s="29" t="s">
        <v>244</v>
      </c>
      <c r="I3" s="22" t="s">
        <v>273</v>
      </c>
      <c r="J3" s="22" t="s">
        <v>275</v>
      </c>
      <c r="L3" s="22" t="s">
        <v>177</v>
      </c>
      <c r="M3" s="32">
        <v>5</v>
      </c>
      <c r="N3" s="22" t="s">
        <v>279</v>
      </c>
      <c r="P3" s="17" t="s">
        <v>287</v>
      </c>
      <c r="Q3" s="17" t="s">
        <v>288</v>
      </c>
      <c r="S3" s="17">
        <v>2</v>
      </c>
      <c r="T3" s="17" t="s">
        <v>302</v>
      </c>
    </row>
    <row r="4" spans="1:20" ht="130.5">
      <c r="A4" s="22" t="s">
        <v>208</v>
      </c>
      <c r="B4" s="7" t="s">
        <v>231</v>
      </c>
      <c r="C4" s="22" t="s">
        <v>233</v>
      </c>
      <c r="E4" s="29" t="s">
        <v>237</v>
      </c>
      <c r="F4" s="29" t="s">
        <v>237</v>
      </c>
      <c r="G4" s="29" t="s">
        <v>237</v>
      </c>
      <c r="I4" s="22" t="s">
        <v>197</v>
      </c>
      <c r="J4" s="22" t="s">
        <v>276</v>
      </c>
      <c r="L4" s="22" t="s">
        <v>178</v>
      </c>
      <c r="M4" s="32">
        <v>5</v>
      </c>
      <c r="N4" s="22" t="s">
        <v>280</v>
      </c>
      <c r="P4" s="17" t="s">
        <v>289</v>
      </c>
      <c r="Q4" s="17" t="s">
        <v>290</v>
      </c>
      <c r="S4" s="17">
        <v>3</v>
      </c>
      <c r="T4" s="17" t="s">
        <v>303</v>
      </c>
    </row>
    <row r="5" spans="1:20" ht="130.5">
      <c r="A5" s="22" t="s">
        <v>233</v>
      </c>
      <c r="B5" s="27" t="s">
        <v>234</v>
      </c>
      <c r="C5" s="22" t="s">
        <v>210</v>
      </c>
      <c r="E5" s="29" t="s">
        <v>238</v>
      </c>
      <c r="F5" s="29"/>
      <c r="G5" s="29" t="s">
        <v>259</v>
      </c>
      <c r="L5" s="22" t="s">
        <v>160</v>
      </c>
      <c r="M5" s="32">
        <v>1</v>
      </c>
      <c r="N5" s="22" t="s">
        <v>218</v>
      </c>
      <c r="P5" s="17" t="s">
        <v>291</v>
      </c>
      <c r="Q5" s="17" t="s">
        <v>292</v>
      </c>
      <c r="S5" s="17">
        <v>4</v>
      </c>
      <c r="T5" s="17" t="s">
        <v>304</v>
      </c>
    </row>
    <row r="6" spans="1:20" ht="87">
      <c r="A6" s="22" t="s">
        <v>233</v>
      </c>
      <c r="B6" s="7" t="s">
        <v>231</v>
      </c>
      <c r="C6" s="22" t="s">
        <v>211</v>
      </c>
      <c r="E6" s="29" t="s">
        <v>239</v>
      </c>
      <c r="F6" s="29" t="s">
        <v>248</v>
      </c>
      <c r="G6" s="29" t="s">
        <v>260</v>
      </c>
      <c r="L6" s="22" t="s">
        <v>179</v>
      </c>
      <c r="M6" s="32">
        <v>3</v>
      </c>
      <c r="N6" s="22" t="s">
        <v>281</v>
      </c>
      <c r="P6" s="17" t="s">
        <v>293</v>
      </c>
      <c r="Q6" s="17" t="s">
        <v>294</v>
      </c>
      <c r="S6" s="17">
        <v>5</v>
      </c>
      <c r="T6" s="17" t="s">
        <v>305</v>
      </c>
    </row>
    <row r="7" spans="1:20" ht="72.5">
      <c r="A7" s="22" t="s">
        <v>233</v>
      </c>
      <c r="B7" s="7" t="s">
        <v>231</v>
      </c>
      <c r="C7" s="22" t="s">
        <v>212</v>
      </c>
      <c r="E7" s="29" t="s">
        <v>240</v>
      </c>
      <c r="F7" s="29" t="s">
        <v>240</v>
      </c>
      <c r="G7" s="29" t="s">
        <v>261</v>
      </c>
      <c r="L7" s="22" t="s">
        <v>16</v>
      </c>
      <c r="M7" s="32">
        <v>2</v>
      </c>
      <c r="N7" s="22" t="s">
        <v>282</v>
      </c>
      <c r="P7" s="17" t="s">
        <v>295</v>
      </c>
      <c r="Q7" s="17" t="s">
        <v>296</v>
      </c>
      <c r="S7" s="17">
        <v>6</v>
      </c>
      <c r="T7" s="17" t="s">
        <v>306</v>
      </c>
    </row>
    <row r="8" spans="1:20" ht="101.5">
      <c r="A8" s="22" t="s">
        <v>212</v>
      </c>
      <c r="B8" s="27" t="s">
        <v>234</v>
      </c>
      <c r="C8" s="22" t="s">
        <v>218</v>
      </c>
      <c r="E8" s="29" t="s">
        <v>241</v>
      </c>
      <c r="F8" s="29" t="s">
        <v>249</v>
      </c>
      <c r="G8" s="29" t="s">
        <v>262</v>
      </c>
      <c r="P8" s="17" t="s">
        <v>297</v>
      </c>
      <c r="Q8" s="17" t="s">
        <v>298</v>
      </c>
      <c r="S8" s="17">
        <v>7</v>
      </c>
      <c r="T8" s="17" t="s">
        <v>307</v>
      </c>
    </row>
    <row r="9" spans="1:20" ht="203">
      <c r="A9" s="22" t="s">
        <v>218</v>
      </c>
      <c r="B9" s="27" t="s">
        <v>234</v>
      </c>
      <c r="C9" s="22" t="s">
        <v>222</v>
      </c>
      <c r="E9" s="29" t="s">
        <v>232</v>
      </c>
      <c r="F9" s="29"/>
      <c r="G9" s="29"/>
      <c r="S9" s="17">
        <v>8</v>
      </c>
      <c r="T9" s="17" t="s">
        <v>308</v>
      </c>
    </row>
    <row r="10" spans="1:20">
      <c r="A10" s="22" t="s">
        <v>195</v>
      </c>
      <c r="B10" s="27" t="s">
        <v>234</v>
      </c>
      <c r="C10" s="22" t="s">
        <v>222</v>
      </c>
      <c r="E10" s="29" t="s">
        <v>236</v>
      </c>
      <c r="F10" s="29" t="s">
        <v>233</v>
      </c>
      <c r="G10" s="29" t="s">
        <v>263</v>
      </c>
    </row>
    <row r="11" spans="1:20">
      <c r="E11" s="29" t="s">
        <v>237</v>
      </c>
      <c r="F11" s="29" t="s">
        <v>250</v>
      </c>
      <c r="G11" s="29" t="s">
        <v>264</v>
      </c>
    </row>
    <row r="12" spans="1:20">
      <c r="E12" s="29" t="s">
        <v>242</v>
      </c>
      <c r="F12" s="29" t="s">
        <v>237</v>
      </c>
      <c r="G12" s="29" t="s">
        <v>265</v>
      </c>
    </row>
    <row r="13" spans="1:20">
      <c r="E13" s="29" t="s">
        <v>238</v>
      </c>
      <c r="F13" s="29" t="s">
        <v>251</v>
      </c>
      <c r="G13" s="29"/>
    </row>
    <row r="14" spans="1:20">
      <c r="E14" s="29" t="s">
        <v>243</v>
      </c>
      <c r="F14" s="29"/>
      <c r="G14" s="29" t="s">
        <v>266</v>
      </c>
    </row>
    <row r="15" spans="1:20">
      <c r="E15" s="29"/>
      <c r="F15" s="29" t="s">
        <v>248</v>
      </c>
      <c r="G15" s="29" t="s">
        <v>244</v>
      </c>
    </row>
    <row r="16" spans="1:20">
      <c r="E16" s="29" t="s">
        <v>239</v>
      </c>
      <c r="F16" s="29" t="s">
        <v>252</v>
      </c>
      <c r="G16" s="29" t="s">
        <v>237</v>
      </c>
    </row>
    <row r="17" spans="5:7">
      <c r="E17" s="29" t="s">
        <v>240</v>
      </c>
      <c r="F17" s="29" t="s">
        <v>253</v>
      </c>
      <c r="G17" s="29" t="s">
        <v>267</v>
      </c>
    </row>
    <row r="18" spans="5:7">
      <c r="E18" s="29" t="s">
        <v>241</v>
      </c>
      <c r="F18" s="29" t="s">
        <v>254</v>
      </c>
      <c r="G18" s="29" t="s">
        <v>268</v>
      </c>
    </row>
    <row r="19" spans="5:7">
      <c r="E19" s="29"/>
      <c r="F19" s="29" t="s">
        <v>255</v>
      </c>
      <c r="G19" s="29" t="s">
        <v>269</v>
      </c>
    </row>
    <row r="20" spans="5:7">
      <c r="E20" s="29" t="s">
        <v>235</v>
      </c>
      <c r="F20" s="29" t="s">
        <v>256</v>
      </c>
      <c r="G20" s="29" t="s">
        <v>270</v>
      </c>
    </row>
    <row r="21" spans="5:7">
      <c r="E21" s="29" t="s">
        <v>244</v>
      </c>
      <c r="F21" s="29"/>
      <c r="G21" s="29"/>
    </row>
    <row r="22" spans="5:7">
      <c r="E22" s="29" t="s">
        <v>237</v>
      </c>
      <c r="F22" s="29" t="s">
        <v>240</v>
      </c>
      <c r="G22" s="29"/>
    </row>
    <row r="23" spans="5:7">
      <c r="E23" s="29" t="s">
        <v>245</v>
      </c>
      <c r="F23" s="29" t="s">
        <v>249</v>
      </c>
      <c r="G23" s="29"/>
    </row>
    <row r="24" spans="5:7">
      <c r="E24" s="29" t="s">
        <v>246</v>
      </c>
      <c r="F24" s="29" t="s">
        <v>257</v>
      </c>
      <c r="G24" s="29"/>
    </row>
    <row r="25" spans="5:7">
      <c r="E25" s="29"/>
      <c r="F25" s="29" t="s">
        <v>212</v>
      </c>
      <c r="G25" s="29"/>
    </row>
    <row r="26" spans="5:7">
      <c r="E26" s="29"/>
      <c r="F26" s="29"/>
      <c r="G26" s="29"/>
    </row>
    <row r="27" spans="5:7">
      <c r="E27" s="29"/>
      <c r="F27" s="29" t="s">
        <v>248</v>
      </c>
      <c r="G27" s="29"/>
    </row>
    <row r="28" spans="5:7">
      <c r="E28" s="29"/>
      <c r="F28" s="29" t="s">
        <v>257</v>
      </c>
      <c r="G28" s="29"/>
    </row>
    <row r="29" spans="5:7">
      <c r="E29" s="29"/>
      <c r="F29" s="29" t="s">
        <v>218</v>
      </c>
      <c r="G29" s="29"/>
    </row>
    <row r="30" spans="5:7">
      <c r="E30" s="29"/>
      <c r="F30" s="29"/>
      <c r="G30" s="29"/>
    </row>
    <row r="31" spans="5:7">
      <c r="E31" s="29"/>
      <c r="F31" s="29" t="s">
        <v>248</v>
      </c>
      <c r="G31" s="29"/>
    </row>
    <row r="32" spans="5:7">
      <c r="E32" s="29"/>
      <c r="F32" s="29" t="s">
        <v>257</v>
      </c>
      <c r="G32" s="29"/>
    </row>
    <row r="33" spans="5:7">
      <c r="E33" s="29"/>
      <c r="F33" s="29" t="s">
        <v>222</v>
      </c>
      <c r="G33" s="29"/>
    </row>
    <row r="34" spans="5:7">
      <c r="E34" s="29"/>
      <c r="F34" s="29"/>
      <c r="G34" s="29"/>
    </row>
    <row r="35" spans="5:7">
      <c r="E35" s="29"/>
      <c r="F35" s="29" t="s">
        <v>258</v>
      </c>
      <c r="G35" s="29"/>
    </row>
    <row r="36" spans="5:7">
      <c r="E36" s="29"/>
      <c r="F36" s="29" t="s">
        <v>249</v>
      </c>
      <c r="G36" s="29"/>
    </row>
    <row r="37" spans="5:7">
      <c r="E37" s="30"/>
      <c r="F37" s="30" t="s">
        <v>195</v>
      </c>
      <c r="G37" s="3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pida mupidah</dc:creator>
  <cp:lastModifiedBy>pida mupidah</cp:lastModifiedBy>
  <dcterms:created xsi:type="dcterms:W3CDTF">2026-07-27T06:06:09Z</dcterms:created>
  <dcterms:modified xsi:type="dcterms:W3CDTF">2026-08-05T03:27:37Z</dcterms:modified>
</cp:coreProperties>
</file>
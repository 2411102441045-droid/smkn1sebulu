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PKL\SMKN 1 Sebulu\01_Dokumen\"/>
    </mc:Choice>
  </mc:AlternateContent>
  <xr:revisionPtr revIDLastSave="0" documentId="8_{847C8584-020E-4139-8157-AE96F79313A6}" xr6:coauthVersionLast="47" xr6:coauthVersionMax="47" xr10:uidLastSave="{00000000-0000-0000-0000-000000000000}"/>
  <bookViews>
    <workbookView xWindow="-90" yWindow="0" windowWidth="11700" windowHeight="10170" firstSheet="17" activeTab="18" xr2:uid="{078ECA70-77FB-4933-8C8A-D99862EED2C2}"/>
  </bookViews>
  <sheets>
    <sheet name="roles" sheetId="1" r:id="rId1"/>
    <sheet name="users" sheetId="2" r:id="rId2"/>
    <sheet name="activity_logs" sheetId="3" r:id="rId3"/>
    <sheet name="profil_sekolah" sheetId="4" r:id="rId4"/>
    <sheet name="jurusan" sheetId="5" r:id="rId5"/>
    <sheet name="guru" sheetId="6" r:id="rId6"/>
    <sheet name="berita" sheetId="7" r:id="rId7"/>
    <sheet name="galeri" sheetId="8" r:id="rId8"/>
    <sheet name="periode_ppdb" sheetId="9" r:id="rId9"/>
    <sheet name="pendaftar" sheetId="10" r:id="rId10"/>
    <sheet name="orang_tua" sheetId="11" r:id="rId11"/>
    <sheet name="dokumen" sheetId="12" r:id="rId12"/>
    <sheet name="rapor" sheetId="13" r:id="rId13"/>
    <sheet name="hasil_ocr" sheetId="14" r:id="rId14"/>
    <sheet name="kriteria " sheetId="15" r:id="rId15"/>
    <sheet name="bobot" sheetId="16" r:id="rId16"/>
    <sheet name="hasil_rekomendasi" sheetId="17" r:id="rId17"/>
    <sheet name="themes" sheetId="18" r:id="rId18"/>
    <sheet name="theme_assets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5" l="1" a="1"/>
  <c r="A2" i="5" s="1"/>
  <c r="A2" i="4" a="1"/>
  <c r="A2" i="4" s="1"/>
  <c r="A2" i="3" a="1"/>
  <c r="A2" i="3" s="1"/>
  <c r="A2" i="2" a="1"/>
  <c r="A2" i="2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<sst xmlns="http://schemas.openxmlformats.org/spreadsheetml/2006/main" count="1069" uniqueCount="284">
  <si>
    <t>No</t>
  </si>
  <si>
    <t xml:space="preserve">Field </t>
  </si>
  <si>
    <t>type</t>
  </si>
  <si>
    <t>length</t>
  </si>
  <si>
    <t>null</t>
  </si>
  <si>
    <t>pk</t>
  </si>
  <si>
    <t>fk</t>
  </si>
  <si>
    <t>default</t>
  </si>
  <si>
    <t>keterangan</t>
  </si>
  <si>
    <t>id</t>
  </si>
  <si>
    <t>nama</t>
  </si>
  <si>
    <t>deskripsi</t>
  </si>
  <si>
    <t>created_at</t>
  </si>
  <si>
    <t>updated_at</t>
  </si>
  <si>
    <t>✅</t>
  </si>
  <si>
    <t>no</t>
  </si>
  <si>
    <t>yes</t>
  </si>
  <si>
    <t>varchar</t>
  </si>
  <si>
    <t>bigint unsigned</t>
  </si>
  <si>
    <t>text</t>
  </si>
  <si>
    <t>timestamp</t>
  </si>
  <si>
    <t>AI</t>
  </si>
  <si>
    <t>NULL</t>
  </si>
  <si>
    <t>id unik role</t>
  </si>
  <si>
    <t>nama role</t>
  </si>
  <si>
    <t>deskripsi role</t>
  </si>
  <si>
    <t>tanggal dibuat</t>
  </si>
  <si>
    <t>tanggal diperbaharui</t>
  </si>
  <si>
    <t>role_id</t>
  </si>
  <si>
    <t>email</t>
  </si>
  <si>
    <t>password</t>
  </si>
  <si>
    <t>foto</t>
  </si>
  <si>
    <t>is_active</t>
  </si>
  <si>
    <t>remember_token</t>
  </si>
  <si>
    <t>boolean</t>
  </si>
  <si>
    <t>roles_id</t>
  </si>
  <si>
    <t>id user</t>
  </si>
  <si>
    <t>role pengguna</t>
  </si>
  <si>
    <t>nama lengkap</t>
  </si>
  <si>
    <t>email pengguna</t>
  </si>
  <si>
    <t>password terenkripsi</t>
  </si>
  <si>
    <t>foto profil</t>
  </si>
  <si>
    <t>status akun</t>
  </si>
  <si>
    <t>token remember me laravel</t>
  </si>
  <si>
    <t>user_id</t>
  </si>
  <si>
    <t>aktivitas</t>
  </si>
  <si>
    <t>ip_address</t>
  </si>
  <si>
    <t>user_agent</t>
  </si>
  <si>
    <t>users_id</t>
  </si>
  <si>
    <t>id aktivitas</t>
  </si>
  <si>
    <t>user yang melakukan aktivitas</t>
  </si>
  <si>
    <t>aktivitas yang dilakukan</t>
  </si>
  <si>
    <t>alamat ip</t>
  </si>
  <si>
    <t>informasi browser</t>
  </si>
  <si>
    <t>waktu aktivitas</t>
  </si>
  <si>
    <t>nama_sekolah</t>
  </si>
  <si>
    <t>npsn</t>
  </si>
  <si>
    <t>logo</t>
  </si>
  <si>
    <t>favicon</t>
  </si>
  <si>
    <t>sejarah</t>
  </si>
  <si>
    <t>visi</t>
  </si>
  <si>
    <t>misi</t>
  </si>
  <si>
    <t>alamat</t>
  </si>
  <si>
    <t>whatsapp</t>
  </si>
  <si>
    <t>website</t>
  </si>
  <si>
    <t>maps_embed</t>
  </si>
  <si>
    <t>instagram</t>
  </si>
  <si>
    <t>facebook</t>
  </si>
  <si>
    <t>sambutan_kepsek</t>
  </si>
  <si>
    <t>youtube</t>
  </si>
  <si>
    <t>longtext</t>
  </si>
  <si>
    <t>id profil</t>
  </si>
  <si>
    <t>nama sekolah</t>
  </si>
  <si>
    <t xml:space="preserve">NPSN </t>
  </si>
  <si>
    <t>logo sekolah</t>
  </si>
  <si>
    <t>ikon website</t>
  </si>
  <si>
    <t>sejarah sekolah</t>
  </si>
  <si>
    <t>visi sekolah</t>
  </si>
  <si>
    <t>misi sekolah</t>
  </si>
  <si>
    <t>sambutan kepsek</t>
  </si>
  <si>
    <t>alamatt sekolah</t>
  </si>
  <si>
    <t>email sekolah</t>
  </si>
  <si>
    <t>nomor wa</t>
  </si>
  <si>
    <t>website resmi</t>
  </si>
  <si>
    <t>google map</t>
  </si>
  <si>
    <t>link ig</t>
  </si>
  <si>
    <t>link fb</t>
  </si>
  <si>
    <t>link yt</t>
  </si>
  <si>
    <t>Field</t>
  </si>
  <si>
    <t>Type</t>
  </si>
  <si>
    <t>Length</t>
  </si>
  <si>
    <t>Null</t>
  </si>
  <si>
    <t>kode_jurusan</t>
  </si>
  <si>
    <t>nama_jurusan</t>
  </si>
  <si>
    <t>id jurusan</t>
  </si>
  <si>
    <t>foto jurusan</t>
  </si>
  <si>
    <t>Nama jurusan</t>
  </si>
  <si>
    <t>profil singkat jurus</t>
  </si>
  <si>
    <t>status aktif</t>
  </si>
  <si>
    <t>nip</t>
  </si>
  <si>
    <t>nuptk</t>
  </si>
  <si>
    <t>jabatan</t>
  </si>
  <si>
    <t>mata_pelajaran</t>
  </si>
  <si>
    <t>pendidikan_terakhir</t>
  </si>
  <si>
    <t>status</t>
  </si>
  <si>
    <t>urutan</t>
  </si>
  <si>
    <t>PK</t>
  </si>
  <si>
    <t>FK</t>
  </si>
  <si>
    <t>Default</t>
  </si>
  <si>
    <t>Keterangan</t>
  </si>
  <si>
    <t>BIGINT UNSIGNED</t>
  </si>
  <si>
    <t>-</t>
  </si>
  <si>
    <t>NO</t>
  </si>
  <si>
    <t>✔</t>
  </si>
  <si>
    <t>Auto Increment</t>
  </si>
  <si>
    <t>ID guru</t>
  </si>
  <si>
    <t>VARCHAR</t>
  </si>
  <si>
    <t>Nama lengkap guru</t>
  </si>
  <si>
    <t>YES</t>
  </si>
  <si>
    <t>Nomor Induk Pegawai</t>
  </si>
  <si>
    <t>Nomor Unik Pendidik dan Tenaga Kependidikan</t>
  </si>
  <si>
    <t>Jabatan guru</t>
  </si>
  <si>
    <t>Mata pelajaran yang diampu</t>
  </si>
  <si>
    <t>Pendidikan terakhir</t>
  </si>
  <si>
    <t>ENUM</t>
  </si>
  <si>
    <t>Honorer</t>
  </si>
  <si>
    <t>Status (PNS, PPPK, Honorer)</t>
  </si>
  <si>
    <t>Foto guru</t>
  </si>
  <si>
    <t>INT</t>
  </si>
  <si>
    <t>Urutan tampilan</t>
  </si>
  <si>
    <t>BOOLEAN</t>
  </si>
  <si>
    <t>Status aktif</t>
  </si>
  <si>
    <t>TIMESTAMP</t>
  </si>
  <si>
    <t>Tanggal dibuat</t>
  </si>
  <si>
    <t>Tanggal diperbarui</t>
  </si>
  <si>
    <t>ID berita</t>
  </si>
  <si>
    <t>users.id</t>
  </si>
  <si>
    <t>Admin pembuat berita</t>
  </si>
  <si>
    <t>judul</t>
  </si>
  <si>
    <t>Judul berita</t>
  </si>
  <si>
    <t>slug</t>
  </si>
  <si>
    <t>URL SEO</t>
  </si>
  <si>
    <t>thumbnail</t>
  </si>
  <si>
    <t>Thumbnail berita</t>
  </si>
  <si>
    <t>isi</t>
  </si>
  <si>
    <t>LONGTEXT</t>
  </si>
  <si>
    <t>Isi berita</t>
  </si>
  <si>
    <t>Draft</t>
  </si>
  <si>
    <t>Status (Draft/Published)</t>
  </si>
  <si>
    <t>tanggal_publikasi</t>
  </si>
  <si>
    <t>DATETIME</t>
  </si>
  <si>
    <t>Waktu publikasi</t>
  </si>
  <si>
    <t>ID galeri</t>
  </si>
  <si>
    <t>Judul galeri</t>
  </si>
  <si>
    <t>File foto</t>
  </si>
  <si>
    <t>TEXT</t>
  </si>
  <si>
    <t>Deskripsi foto</t>
  </si>
  <si>
    <t>tanggal</t>
  </si>
  <si>
    <t>DATE</t>
  </si>
  <si>
    <t>Tanggal kegiatan</t>
  </si>
  <si>
    <t>ID periode</t>
  </si>
  <si>
    <t>tahun_ajaran</t>
  </si>
  <si>
    <t>Contoh: 2026/2027</t>
  </si>
  <si>
    <t>tanggal_buka</t>
  </si>
  <si>
    <t>Tanggal mulai pendaftaran</t>
  </si>
  <si>
    <t>tanggal_tutup</t>
  </si>
  <si>
    <t>Tanggal akhir pendaftaran</t>
  </si>
  <si>
    <t>Tidak Aktif</t>
  </si>
  <si>
    <t>Status (Aktif/Tidak Aktif)</t>
  </si>
  <si>
    <t>ID pendaftar</t>
  </si>
  <si>
    <t>periode_id</t>
  </si>
  <si>
    <t>periode_ppdb.id</t>
  </si>
  <si>
    <t>Periode PPDB</t>
  </si>
  <si>
    <t>jurusan_id</t>
  </si>
  <si>
    <t>jurusan.id</t>
  </si>
  <si>
    <t>Jurusan yang dipilih setelah rekomendasi</t>
  </si>
  <si>
    <t>nomor_pendaftaran</t>
  </si>
  <si>
    <t>Nomor pendaftaran otomatis</t>
  </si>
  <si>
    <t>Nama lengkap</t>
  </si>
  <si>
    <t>nisn</t>
  </si>
  <si>
    <t>NISN</t>
  </si>
  <si>
    <t>nik</t>
  </si>
  <si>
    <t>NIK</t>
  </si>
  <si>
    <t>tempat_lahir</t>
  </si>
  <si>
    <t>Tempat lahir</t>
  </si>
  <si>
    <t>tanggal_lahir</t>
  </si>
  <si>
    <t>Tanggal lahir</t>
  </si>
  <si>
    <t>jenis_kelamin</t>
  </si>
  <si>
    <t>L / P</t>
  </si>
  <si>
    <t>agama</t>
  </si>
  <si>
    <t>Agama</t>
  </si>
  <si>
    <t>Alamat lengkap</t>
  </si>
  <si>
    <t>asal_sekolah</t>
  </si>
  <si>
    <t>Asal sekolah</t>
  </si>
  <si>
    <t>no_hp</t>
  </si>
  <si>
    <t>Nomor HP</t>
  </si>
  <si>
    <t>step</t>
  </si>
  <si>
    <t>TINYINT</t>
  </si>
  <si>
    <t>Tahapan pendaftaran (1–5)</t>
  </si>
  <si>
    <t>status_pendaftaran</t>
  </si>
  <si>
    <t>Menunggu</t>
  </si>
  <si>
    <t>Status (Menunggu, Diverifikasi, Ditolak, Diterima)</t>
  </si>
  <si>
    <t>ID data orang tua</t>
  </si>
  <si>
    <t>pendaftar_id</t>
  </si>
  <si>
    <t>pendaftar.id</t>
  </si>
  <si>
    <t>Relasi ke pendaftar</t>
  </si>
  <si>
    <t>nama_ayah</t>
  </si>
  <si>
    <t>Nama ayah</t>
  </si>
  <si>
    <t>pekerjaan_ayah</t>
  </si>
  <si>
    <t>Pekerjaan ayah</t>
  </si>
  <si>
    <t>nama_ibu</t>
  </si>
  <si>
    <t>Nama ibu</t>
  </si>
  <si>
    <t>pekerjaan_ibu</t>
  </si>
  <si>
    <t>Pekerjaan ibu</t>
  </si>
  <si>
    <t>no_hp_orangtua</t>
  </si>
  <si>
    <t>Nomor HP orang tua</t>
  </si>
  <si>
    <t>Alamat orang tua</t>
  </si>
  <si>
    <t>ID dokumen</t>
  </si>
  <si>
    <t>jenis_dokumen</t>
  </si>
  <si>
    <t>Jenis dokumen (KK, Akta, dll.)</t>
  </si>
  <si>
    <t>nama_file</t>
  </si>
  <si>
    <t>Nama file</t>
  </si>
  <si>
    <t>status_verifikasi</t>
  </si>
  <si>
    <t>Status verifikasi</t>
  </si>
  <si>
    <t>catatan</t>
  </si>
  <si>
    <t>Catatan admin</t>
  </si>
  <si>
    <t>ID rapor</t>
  </si>
  <si>
    <t>semester</t>
  </si>
  <si>
    <t>Semester rapor</t>
  </si>
  <si>
    <t>File rapor</t>
  </si>
  <si>
    <t>status_ocr</t>
  </si>
  <si>
    <t>Belum Diproses</t>
  </si>
  <si>
    <t>Status OCR</t>
  </si>
  <si>
    <t>ID hasil OCR</t>
  </si>
  <si>
    <t>rapor_id</t>
  </si>
  <si>
    <t>rapor.id</t>
  </si>
  <si>
    <t>Relasi ke rapor</t>
  </si>
  <si>
    <t>nilai_matematika</t>
  </si>
  <si>
    <t>DECIMAL</t>
  </si>
  <si>
    <t>Nilai Matematika</t>
  </si>
  <si>
    <t>nilai_bahasa_indonesia</t>
  </si>
  <si>
    <t>Nilai Bahasa Indonesia</t>
  </si>
  <si>
    <t>nilai_bahasa_inggris</t>
  </si>
  <si>
    <t>Nilai Bahasa Inggris</t>
  </si>
  <si>
    <t>nilai_ipa</t>
  </si>
  <si>
    <t>Nilai IPA</t>
  </si>
  <si>
    <t>Belum Diverifikasi</t>
  </si>
  <si>
    <t>Status verifikasi OCR</t>
  </si>
  <si>
    <t>ID kriteria</t>
  </si>
  <si>
    <t>nama_kriteria</t>
  </si>
  <si>
    <t>Nama kriteria</t>
  </si>
  <si>
    <t>atribut</t>
  </si>
  <si>
    <t>Benefit</t>
  </si>
  <si>
    <t>Jenis atribut (Benefit/Cost)</t>
  </si>
  <si>
    <t>ID bobot</t>
  </si>
  <si>
    <t>kriteria_id</t>
  </si>
  <si>
    <t>kriteria.id</t>
  </si>
  <si>
    <t>Relasi ke kriteria</t>
  </si>
  <si>
    <t>nilai_bobot</t>
  </si>
  <si>
    <t>Nilai bobot</t>
  </si>
  <si>
    <t>ID hasil rekomendasi</t>
  </si>
  <si>
    <t>hasil_ocr_id</t>
  </si>
  <si>
    <t>hasil_ocr.id</t>
  </si>
  <si>
    <t>Relasi ke hasil OCR</t>
  </si>
  <si>
    <t>Jurusan yang direkomendasikan</t>
  </si>
  <si>
    <t>nilai_preferensi</t>
  </si>
  <si>
    <t>Nilai SAW</t>
  </si>
  <si>
    <t>peringkat</t>
  </si>
  <si>
    <t>Peringkat rekomendasi</t>
  </si>
  <si>
    <t>ID tema</t>
  </si>
  <si>
    <t>nama_theme</t>
  </si>
  <si>
    <t>Nama tema</t>
  </si>
  <si>
    <t>Kode tema</t>
  </si>
  <si>
    <t>preview</t>
  </si>
  <si>
    <t>Gambar preview tema</t>
  </si>
  <si>
    <t>Status tema aktif</t>
  </si>
  <si>
    <t>ID aset tema</t>
  </si>
  <si>
    <t>theme_id</t>
  </si>
  <si>
    <t>themes.id</t>
  </si>
  <si>
    <t>Relasi ke tema</t>
  </si>
  <si>
    <t>jenis</t>
  </si>
  <si>
    <t>Jenis aset (Background, SVG, Banner, Icon, dll.)</t>
  </si>
  <si>
    <t>Nama file aset</t>
  </si>
  <si>
    <t>Urutan tampil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</si>
</sst>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C86A-BE34-41D2-948E-968B49D44D1D}">
  <dimension ref="A1:I6"/>
  <sheetViews>
    <sheetView workbookViewId="0">
      <selection sqref="A1:I1"/>
    </sheetView>
  </sheetViews>
  <sheetFormatPr defaultRowHeight="14.5" x14ac:dyDescent="0.35"/>
  <cols>
    <col min="2" max="2" width="10.453125" bestFit="1" customWidth="1"/>
    <col min="3" max="3" width="13.54296875" bestFit="1" customWidth="1"/>
    <col min="9" max="9" width="18.2695312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 cm="1">
        <f t="array" ref="A2:A6">_xlfn.SEQUENCE(5)</f>
        <v>1</v>
      </c>
      <c r="B2" s="3" t="s">
        <v>9</v>
      </c>
      <c r="C2" s="3" t="s">
        <v>18</v>
      </c>
      <c r="D2" s="3"/>
      <c r="E2" s="3" t="s">
        <v>15</v>
      </c>
      <c r="F2" s="3" t="s">
        <v>14</v>
      </c>
      <c r="G2" s="3"/>
      <c r="H2" s="3" t="s">
        <v>21</v>
      </c>
      <c r="I2" s="3" t="s">
        <v>23</v>
      </c>
    </row>
    <row r="3" spans="1:9" x14ac:dyDescent="0.35">
      <c r="A3" s="3">
        <v>2</v>
      </c>
      <c r="B3" s="3" t="s">
        <v>10</v>
      </c>
      <c r="C3" s="3" t="s">
        <v>17</v>
      </c>
      <c r="D3" s="3">
        <v>50</v>
      </c>
      <c r="E3" s="3" t="s">
        <v>15</v>
      </c>
      <c r="F3" s="3"/>
      <c r="G3" s="3"/>
      <c r="H3" s="3" t="s">
        <v>22</v>
      </c>
      <c r="I3" s="3" t="s">
        <v>24</v>
      </c>
    </row>
    <row r="4" spans="1:9" x14ac:dyDescent="0.35">
      <c r="A4" s="3">
        <v>3</v>
      </c>
      <c r="B4" s="3" t="s">
        <v>11</v>
      </c>
      <c r="C4" s="3" t="s">
        <v>19</v>
      </c>
      <c r="D4" s="3"/>
      <c r="E4" s="3" t="s">
        <v>16</v>
      </c>
      <c r="F4" s="3"/>
      <c r="G4" s="3"/>
      <c r="H4" s="3" t="s">
        <v>22</v>
      </c>
      <c r="I4" s="3" t="s">
        <v>25</v>
      </c>
    </row>
    <row r="5" spans="1:9" x14ac:dyDescent="0.35">
      <c r="A5" s="3">
        <v>4</v>
      </c>
      <c r="B5" s="3" t="s">
        <v>12</v>
      </c>
      <c r="C5" s="3" t="s">
        <v>20</v>
      </c>
      <c r="D5" s="3"/>
      <c r="E5" s="3" t="s">
        <v>16</v>
      </c>
      <c r="F5" s="3"/>
      <c r="G5" s="3"/>
      <c r="H5" s="3" t="s">
        <v>22</v>
      </c>
      <c r="I5" s="3" t="s">
        <v>26</v>
      </c>
    </row>
    <row r="6" spans="1:9" x14ac:dyDescent="0.35">
      <c r="A6" s="3">
        <v>5</v>
      </c>
      <c r="B6" s="3" t="s">
        <v>13</v>
      </c>
      <c r="C6" s="3" t="s">
        <v>20</v>
      </c>
      <c r="D6" s="3"/>
      <c r="E6" s="3" t="s">
        <v>16</v>
      </c>
      <c r="F6" s="3"/>
      <c r="G6" s="3"/>
      <c r="H6" s="3" t="s">
        <v>22</v>
      </c>
      <c r="I6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3C3F-FD3A-40F5-8E43-3448F53CE2C4}">
  <dimension ref="A1:I11"/>
  <sheetViews>
    <sheetView workbookViewId="0">
      <selection sqref="A1:I1"/>
    </sheetView>
  </sheetViews>
  <sheetFormatPr defaultRowHeight="14.5" x14ac:dyDescent="0.35"/>
  <cols>
    <col min="2" max="2" width="15.453125" bestFit="1" customWidth="1"/>
    <col min="3" max="3" width="13.54296875" bestFit="1" customWidth="1"/>
    <col min="9" max="9" width="24.1796875" bestFit="1" customWidth="1"/>
  </cols>
  <sheetData>
    <row r="1" spans="1: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35">
      <c r="A2" s="6" cm="1">
        <f t="array" ref="A2:A11">_xlfn.SEQUENCE(10)</f>
        <v>1</v>
      </c>
      <c r="B2" s="6" t="s">
        <v>9</v>
      </c>
      <c r="C2" s="6" t="s">
        <v>18</v>
      </c>
      <c r="D2" s="6"/>
      <c r="E2" s="6" t="s">
        <v>15</v>
      </c>
      <c r="F2" s="6" t="s">
        <v>14</v>
      </c>
      <c r="G2" s="6"/>
      <c r="H2" s="6" t="s">
        <v>21</v>
      </c>
      <c r="I2" s="6" t="s">
        <v>36</v>
      </c>
    </row>
    <row r="3" spans="1:9" x14ac:dyDescent="0.35">
      <c r="A3" s="6">
        <v>2</v>
      </c>
      <c r="B3" s="6" t="s">
        <v>28</v>
      </c>
      <c r="C3" s="6" t="s">
        <v>18</v>
      </c>
      <c r="D3" s="6"/>
      <c r="E3" s="6" t="s">
        <v>15</v>
      </c>
      <c r="F3" s="6"/>
      <c r="G3" s="6" t="s">
        <v>35</v>
      </c>
      <c r="H3" s="6"/>
      <c r="I3" s="6" t="s">
        <v>37</v>
      </c>
    </row>
    <row r="4" spans="1:9" x14ac:dyDescent="0.35">
      <c r="A4" s="6">
        <v>3</v>
      </c>
      <c r="B4" s="6" t="s">
        <v>10</v>
      </c>
      <c r="C4" s="6" t="s">
        <v>17</v>
      </c>
      <c r="D4" s="6">
        <v>100</v>
      </c>
      <c r="E4" s="6" t="s">
        <v>15</v>
      </c>
      <c r="F4" s="6"/>
      <c r="G4" s="6"/>
      <c r="H4" s="6"/>
      <c r="I4" s="6" t="s">
        <v>38</v>
      </c>
    </row>
    <row r="5" spans="1:9" x14ac:dyDescent="0.35">
      <c r="A5" s="6">
        <v>4</v>
      </c>
      <c r="B5" s="6" t="s">
        <v>29</v>
      </c>
      <c r="C5" s="6" t="s">
        <v>17</v>
      </c>
      <c r="D5" s="6">
        <v>100</v>
      </c>
      <c r="E5" s="6" t="s">
        <v>15</v>
      </c>
      <c r="F5" s="6"/>
      <c r="G5" s="6"/>
      <c r="H5" s="6"/>
      <c r="I5" s="6" t="s">
        <v>39</v>
      </c>
    </row>
    <row r="6" spans="1:9" x14ac:dyDescent="0.35">
      <c r="A6" s="6">
        <v>5</v>
      </c>
      <c r="B6" s="6" t="s">
        <v>30</v>
      </c>
      <c r="C6" s="6" t="s">
        <v>17</v>
      </c>
      <c r="D6" s="6">
        <v>255</v>
      </c>
      <c r="E6" s="6" t="s">
        <v>15</v>
      </c>
      <c r="F6" s="6"/>
      <c r="G6" s="6"/>
      <c r="H6" s="6"/>
      <c r="I6" s="6" t="s">
        <v>40</v>
      </c>
    </row>
    <row r="7" spans="1:9" x14ac:dyDescent="0.35">
      <c r="A7" s="6">
        <v>6</v>
      </c>
      <c r="B7" s="6" t="s">
        <v>31</v>
      </c>
      <c r="C7" s="6" t="s">
        <v>17</v>
      </c>
      <c r="D7" s="6">
        <v>255</v>
      </c>
      <c r="E7" s="6" t="s">
        <v>16</v>
      </c>
      <c r="F7" s="6"/>
      <c r="G7" s="6"/>
      <c r="H7" s="6" t="s">
        <v>4</v>
      </c>
      <c r="I7" s="6" t="s">
        <v>41</v>
      </c>
    </row>
    <row r="8" spans="1:9" x14ac:dyDescent="0.35">
      <c r="A8" s="6">
        <v>7</v>
      </c>
      <c r="B8" s="6" t="s">
        <v>32</v>
      </c>
      <c r="C8" s="6" t="s">
        <v>34</v>
      </c>
      <c r="D8" s="6"/>
      <c r="E8" s="6" t="s">
        <v>15</v>
      </c>
      <c r="F8" s="6"/>
      <c r="G8" s="6"/>
      <c r="H8" s="6">
        <v>1</v>
      </c>
      <c r="I8" s="6" t="s">
        <v>42</v>
      </c>
    </row>
    <row r="9" spans="1:9" x14ac:dyDescent="0.35">
      <c r="A9" s="6">
        <v>8</v>
      </c>
      <c r="B9" s="6" t="s">
        <v>33</v>
      </c>
      <c r="C9" s="6" t="s">
        <v>17</v>
      </c>
      <c r="D9" s="6">
        <v>100</v>
      </c>
      <c r="E9" s="6" t="s">
        <v>16</v>
      </c>
      <c r="F9" s="6"/>
      <c r="G9" s="6"/>
      <c r="H9" s="6" t="s">
        <v>4</v>
      </c>
      <c r="I9" s="6" t="s">
        <v>43</v>
      </c>
    </row>
    <row r="10" spans="1:9" x14ac:dyDescent="0.35">
      <c r="A10" s="6">
        <v>9</v>
      </c>
      <c r="B10" s="6" t="s">
        <v>12</v>
      </c>
      <c r="C10" s="6" t="s">
        <v>20</v>
      </c>
      <c r="D10" s="6"/>
      <c r="E10" s="6" t="s">
        <v>16</v>
      </c>
      <c r="F10" s="6"/>
      <c r="G10" s="6"/>
      <c r="H10" s="6" t="s">
        <v>4</v>
      </c>
      <c r="I10" s="6" t="s">
        <v>26</v>
      </c>
    </row>
    <row r="11" spans="1:9" x14ac:dyDescent="0.35">
      <c r="A11" s="6">
        <v>10</v>
      </c>
      <c r="B11" s="6" t="s">
        <v>13</v>
      </c>
      <c r="C11" s="6" t="s">
        <v>20</v>
      </c>
      <c r="D11" s="6"/>
      <c r="E11" s="6" t="s">
        <v>16</v>
      </c>
      <c r="F11" s="6"/>
      <c r="G11" s="6"/>
      <c r="H11" s="6" t="s">
        <v>4</v>
      </c>
      <c r="I11" s="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CBFA-F18E-4DDD-B93E-50EFDAECBF24}">
  <dimension ref="A1:I7"/>
  <sheetViews>
    <sheetView workbookViewId="0">
      <selection sqref="A1:I1"/>
    </sheetView>
  </sheetViews>
  <sheetFormatPr defaultRowHeight="14.5" x14ac:dyDescent="0.35"/>
  <cols>
    <col min="2" max="2" width="10.08984375" bestFit="1" customWidth="1"/>
    <col min="3" max="3" width="13.54296875" bestFit="1" customWidth="1"/>
    <col min="9" max="9" width="26" bestFit="1" customWidth="1"/>
  </cols>
  <sheetData>
    <row r="1" spans="1:9" s="1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4" cm="1">
        <f t="array" ref="A2:A7">_xlfn.SEQUENCE(6)</f>
        <v>1</v>
      </c>
      <c r="B2" s="4" t="s">
        <v>9</v>
      </c>
      <c r="C2" s="4" t="s">
        <v>18</v>
      </c>
      <c r="D2" s="4"/>
      <c r="E2" s="4" t="s">
        <v>15</v>
      </c>
      <c r="F2" s="4" t="s">
        <v>14</v>
      </c>
      <c r="G2" s="4"/>
      <c r="H2" s="4" t="s">
        <v>21</v>
      </c>
      <c r="I2" s="4" t="s">
        <v>49</v>
      </c>
    </row>
    <row r="3" spans="1:9" x14ac:dyDescent="0.35">
      <c r="A3" s="4">
        <v>2</v>
      </c>
      <c r="B3" s="4" t="s">
        <v>44</v>
      </c>
      <c r="C3" s="4" t="s">
        <v>18</v>
      </c>
      <c r="D3" s="4"/>
      <c r="E3" s="4" t="s">
        <v>15</v>
      </c>
      <c r="F3" s="4"/>
      <c r="G3" s="4" t="s">
        <v>48</v>
      </c>
      <c r="H3" s="4"/>
      <c r="I3" s="4" t="s">
        <v>50</v>
      </c>
    </row>
    <row r="4" spans="1:9" x14ac:dyDescent="0.35">
      <c r="A4" s="4">
        <v>3</v>
      </c>
      <c r="B4" s="4" t="s">
        <v>45</v>
      </c>
      <c r="C4" s="4" t="s">
        <v>17</v>
      </c>
      <c r="D4" s="4">
        <v>255</v>
      </c>
      <c r="E4" s="4" t="s">
        <v>15</v>
      </c>
      <c r="F4" s="4"/>
      <c r="G4" s="4"/>
      <c r="H4" s="4"/>
      <c r="I4" s="4" t="s">
        <v>51</v>
      </c>
    </row>
    <row r="5" spans="1:9" x14ac:dyDescent="0.35">
      <c r="A5" s="4">
        <v>4</v>
      </c>
      <c r="B5" s="4" t="s">
        <v>46</v>
      </c>
      <c r="C5" s="4" t="s">
        <v>17</v>
      </c>
      <c r="D5" s="4">
        <v>45</v>
      </c>
      <c r="E5" s="4" t="s">
        <v>16</v>
      </c>
      <c r="F5" s="4"/>
      <c r="G5" s="4"/>
      <c r="H5" s="4" t="s">
        <v>22</v>
      </c>
      <c r="I5" s="4" t="s">
        <v>52</v>
      </c>
    </row>
    <row r="6" spans="1:9" x14ac:dyDescent="0.35">
      <c r="A6" s="4">
        <v>5</v>
      </c>
      <c r="B6" s="4" t="s">
        <v>47</v>
      </c>
      <c r="C6" s="4" t="s">
        <v>19</v>
      </c>
      <c r="D6" s="4"/>
      <c r="E6" s="4" t="s">
        <v>16</v>
      </c>
      <c r="F6" s="4"/>
      <c r="G6" s="4"/>
      <c r="H6" s="4" t="s">
        <v>22</v>
      </c>
      <c r="I6" s="4" t="s">
        <v>53</v>
      </c>
    </row>
    <row r="7" spans="1:9" x14ac:dyDescent="0.35">
      <c r="A7" s="4">
        <v>6</v>
      </c>
      <c r="B7" s="4" t="s">
        <v>12</v>
      </c>
      <c r="C7" s="4" t="s">
        <v>20</v>
      </c>
      <c r="D7" s="4"/>
      <c r="E7" s="4" t="s">
        <v>16</v>
      </c>
      <c r="F7" s="4"/>
      <c r="G7" s="4"/>
      <c r="H7" s="4" t="s">
        <v>22</v>
      </c>
      <c r="I7" s="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BC1F-4704-4498-B3E0-B9B2ED5A4C54}">
  <dimension ref="A1:I20"/>
  <sheetViews>
    <sheetView topLeftCell="C1" workbookViewId="0">
      <selection sqref="A1:I1"/>
    </sheetView>
  </sheetViews>
  <sheetFormatPr defaultRowHeight="14.5" x14ac:dyDescent="0.35"/>
  <cols>
    <col min="2" max="2" width="21.54296875" customWidth="1"/>
    <col min="3" max="3" width="17.36328125" customWidth="1"/>
    <col min="9" max="9" width="19.81640625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4" cm="1">
        <f t="array" ref="A2:A20">_xlfn.SEQUENCE(19)</f>
        <v>1</v>
      </c>
      <c r="B2" s="4" t="s">
        <v>9</v>
      </c>
      <c r="C2" s="4" t="s">
        <v>18</v>
      </c>
      <c r="D2" s="4"/>
      <c r="E2" s="4" t="s">
        <v>15</v>
      </c>
      <c r="F2" s="4" t="s">
        <v>14</v>
      </c>
      <c r="G2" s="4"/>
      <c r="H2" s="4" t="s">
        <v>21</v>
      </c>
      <c r="I2" s="4" t="s">
        <v>71</v>
      </c>
    </row>
    <row r="3" spans="1:9" x14ac:dyDescent="0.35">
      <c r="A3" s="4">
        <v>2</v>
      </c>
      <c r="B3" s="4" t="s">
        <v>55</v>
      </c>
      <c r="C3" s="4" t="s">
        <v>17</v>
      </c>
      <c r="D3" s="4">
        <v>150</v>
      </c>
      <c r="E3" s="4" t="s">
        <v>15</v>
      </c>
      <c r="F3" s="4"/>
      <c r="G3" s="4"/>
      <c r="H3" s="4"/>
      <c r="I3" s="4" t="s">
        <v>72</v>
      </c>
    </row>
    <row r="4" spans="1:9" x14ac:dyDescent="0.35">
      <c r="A4" s="4">
        <v>3</v>
      </c>
      <c r="B4" s="4" t="s">
        <v>56</v>
      </c>
      <c r="C4" s="4" t="s">
        <v>17</v>
      </c>
      <c r="D4" s="4">
        <v>20</v>
      </c>
      <c r="E4" s="4" t="s">
        <v>15</v>
      </c>
      <c r="F4" s="4"/>
      <c r="G4" s="4"/>
      <c r="H4" s="4"/>
      <c r="I4" s="4" t="s">
        <v>73</v>
      </c>
    </row>
    <row r="5" spans="1:9" x14ac:dyDescent="0.35">
      <c r="A5" s="4">
        <v>4</v>
      </c>
      <c r="B5" s="4" t="s">
        <v>57</v>
      </c>
      <c r="C5" s="4" t="s">
        <v>17</v>
      </c>
      <c r="D5" s="4">
        <v>255</v>
      </c>
      <c r="E5" s="4" t="s">
        <v>16</v>
      </c>
      <c r="F5" s="4"/>
      <c r="G5" s="4"/>
      <c r="H5" s="4" t="s">
        <v>4</v>
      </c>
      <c r="I5" s="4" t="s">
        <v>74</v>
      </c>
    </row>
    <row r="6" spans="1:9" x14ac:dyDescent="0.35">
      <c r="A6" s="4">
        <v>5</v>
      </c>
      <c r="B6" s="4" t="s">
        <v>58</v>
      </c>
      <c r="C6" s="4" t="s">
        <v>17</v>
      </c>
      <c r="D6" s="4">
        <v>255</v>
      </c>
      <c r="E6" s="4" t="s">
        <v>16</v>
      </c>
      <c r="F6" s="4"/>
      <c r="G6" s="4"/>
      <c r="H6" s="4" t="s">
        <v>4</v>
      </c>
      <c r="I6" s="4" t="s">
        <v>75</v>
      </c>
    </row>
    <row r="7" spans="1:9" x14ac:dyDescent="0.35">
      <c r="A7" s="4">
        <v>6</v>
      </c>
      <c r="B7" s="4" t="s">
        <v>59</v>
      </c>
      <c r="C7" s="4" t="s">
        <v>70</v>
      </c>
      <c r="D7" s="4"/>
      <c r="E7" s="4" t="s">
        <v>16</v>
      </c>
      <c r="F7" s="4"/>
      <c r="G7" s="4"/>
      <c r="H7" s="4" t="s">
        <v>4</v>
      </c>
      <c r="I7" s="4" t="s">
        <v>76</v>
      </c>
    </row>
    <row r="8" spans="1:9" x14ac:dyDescent="0.35">
      <c r="A8" s="4">
        <v>7</v>
      </c>
      <c r="B8" s="4" t="s">
        <v>60</v>
      </c>
      <c r="C8" s="4" t="s">
        <v>70</v>
      </c>
      <c r="D8" s="4"/>
      <c r="E8" s="4" t="s">
        <v>16</v>
      </c>
      <c r="F8" s="4"/>
      <c r="G8" s="4"/>
      <c r="H8" s="4" t="s">
        <v>4</v>
      </c>
      <c r="I8" s="4" t="s">
        <v>77</v>
      </c>
    </row>
    <row r="9" spans="1:9" x14ac:dyDescent="0.35">
      <c r="A9" s="4">
        <v>8</v>
      </c>
      <c r="B9" s="4" t="s">
        <v>61</v>
      </c>
      <c r="C9" s="4" t="s">
        <v>70</v>
      </c>
      <c r="D9" s="4"/>
      <c r="E9" s="4" t="s">
        <v>16</v>
      </c>
      <c r="F9" s="4"/>
      <c r="G9" s="4"/>
      <c r="H9" s="4" t="s">
        <v>4</v>
      </c>
      <c r="I9" s="4" t="s">
        <v>78</v>
      </c>
    </row>
    <row r="10" spans="1:9" x14ac:dyDescent="0.35">
      <c r="A10" s="4">
        <v>9</v>
      </c>
      <c r="B10" s="4" t="s">
        <v>68</v>
      </c>
      <c r="C10" s="4" t="s">
        <v>70</v>
      </c>
      <c r="D10" s="4"/>
      <c r="E10" s="4" t="s">
        <v>16</v>
      </c>
      <c r="F10" s="4"/>
      <c r="G10" s="4"/>
      <c r="H10" s="4" t="s">
        <v>4</v>
      </c>
      <c r="I10" s="4" t="s">
        <v>79</v>
      </c>
    </row>
    <row r="11" spans="1:9" x14ac:dyDescent="0.35">
      <c r="A11" s="4">
        <v>10</v>
      </c>
      <c r="B11" s="4" t="s">
        <v>62</v>
      </c>
      <c r="C11" s="4" t="s">
        <v>19</v>
      </c>
      <c r="D11" s="4"/>
      <c r="E11" s="4" t="s">
        <v>16</v>
      </c>
      <c r="F11" s="4"/>
      <c r="G11" s="4"/>
      <c r="H11" s="4" t="s">
        <v>4</v>
      </c>
      <c r="I11" s="4" t="s">
        <v>80</v>
      </c>
    </row>
    <row r="12" spans="1:9" x14ac:dyDescent="0.35">
      <c r="A12" s="4">
        <v>11</v>
      </c>
      <c r="B12" s="4" t="s">
        <v>29</v>
      </c>
      <c r="C12" s="4" t="s">
        <v>17</v>
      </c>
      <c r="D12" s="4">
        <v>100</v>
      </c>
      <c r="E12" s="4" t="s">
        <v>16</v>
      </c>
      <c r="F12" s="4"/>
      <c r="G12" s="4"/>
      <c r="H12" s="4" t="s">
        <v>4</v>
      </c>
      <c r="I12" s="4" t="s">
        <v>81</v>
      </c>
    </row>
    <row r="13" spans="1:9" x14ac:dyDescent="0.35">
      <c r="A13" s="4">
        <v>12</v>
      </c>
      <c r="B13" s="4" t="s">
        <v>63</v>
      </c>
      <c r="C13" s="4" t="s">
        <v>17</v>
      </c>
      <c r="D13" s="4">
        <v>20</v>
      </c>
      <c r="E13" s="4" t="s">
        <v>16</v>
      </c>
      <c r="F13" s="4"/>
      <c r="G13" s="4"/>
      <c r="H13" s="4" t="s">
        <v>4</v>
      </c>
      <c r="I13" s="4" t="s">
        <v>82</v>
      </c>
    </row>
    <row r="14" spans="1:9" x14ac:dyDescent="0.35">
      <c r="A14" s="4">
        <v>13</v>
      </c>
      <c r="B14" s="4" t="s">
        <v>64</v>
      </c>
      <c r="C14" s="4" t="s">
        <v>17</v>
      </c>
      <c r="D14" s="4">
        <v>255</v>
      </c>
      <c r="E14" s="4" t="s">
        <v>16</v>
      </c>
      <c r="F14" s="4"/>
      <c r="G14" s="4"/>
      <c r="H14" s="4" t="s">
        <v>4</v>
      </c>
      <c r="I14" s="4" t="s">
        <v>83</v>
      </c>
    </row>
    <row r="15" spans="1:9" x14ac:dyDescent="0.35">
      <c r="A15" s="4">
        <v>14</v>
      </c>
      <c r="B15" s="4" t="s">
        <v>65</v>
      </c>
      <c r="C15" s="4" t="s">
        <v>70</v>
      </c>
      <c r="D15" s="4"/>
      <c r="E15" s="4" t="s">
        <v>16</v>
      </c>
      <c r="F15" s="4"/>
      <c r="G15" s="4"/>
      <c r="H15" s="4" t="s">
        <v>4</v>
      </c>
      <c r="I15" s="4" t="s">
        <v>84</v>
      </c>
    </row>
    <row r="16" spans="1:9" x14ac:dyDescent="0.35">
      <c r="A16" s="4">
        <v>15</v>
      </c>
      <c r="B16" s="4" t="s">
        <v>66</v>
      </c>
      <c r="C16" s="4" t="s">
        <v>17</v>
      </c>
      <c r="D16" s="4">
        <v>255</v>
      </c>
      <c r="E16" s="4" t="s">
        <v>16</v>
      </c>
      <c r="F16" s="4"/>
      <c r="G16" s="4"/>
      <c r="H16" s="4" t="s">
        <v>4</v>
      </c>
      <c r="I16" s="4" t="s">
        <v>85</v>
      </c>
    </row>
    <row r="17" spans="1:9" x14ac:dyDescent="0.35">
      <c r="A17" s="4">
        <v>16</v>
      </c>
      <c r="B17" s="4" t="s">
        <v>67</v>
      </c>
      <c r="C17" s="4" t="s">
        <v>17</v>
      </c>
      <c r="D17" s="4">
        <v>255</v>
      </c>
      <c r="E17" s="4" t="s">
        <v>16</v>
      </c>
      <c r="F17" s="4"/>
      <c r="G17" s="4"/>
      <c r="H17" s="4" t="s">
        <v>4</v>
      </c>
      <c r="I17" s="4" t="s">
        <v>86</v>
      </c>
    </row>
    <row r="18" spans="1:9" x14ac:dyDescent="0.35">
      <c r="A18" s="4">
        <v>17</v>
      </c>
      <c r="B18" s="4" t="s">
        <v>69</v>
      </c>
      <c r="C18" s="4" t="s">
        <v>17</v>
      </c>
      <c r="D18" s="4">
        <v>255</v>
      </c>
      <c r="E18" s="4" t="s">
        <v>16</v>
      </c>
      <c r="F18" s="4"/>
      <c r="G18" s="4"/>
      <c r="H18" s="4" t="s">
        <v>4</v>
      </c>
      <c r="I18" s="4" t="s">
        <v>87</v>
      </c>
    </row>
    <row r="19" spans="1:9" x14ac:dyDescent="0.35">
      <c r="A19" s="4">
        <v>18</v>
      </c>
      <c r="B19" s="4" t="s">
        <v>12</v>
      </c>
      <c r="C19" s="4" t="s">
        <v>20</v>
      </c>
      <c r="D19" s="4"/>
      <c r="E19" s="4" t="s">
        <v>16</v>
      </c>
      <c r="F19" s="4"/>
      <c r="G19" s="4"/>
      <c r="H19" s="4" t="s">
        <v>4</v>
      </c>
      <c r="I19" s="4" t="s">
        <v>26</v>
      </c>
    </row>
    <row r="20" spans="1:9" x14ac:dyDescent="0.35">
      <c r="A20" s="4">
        <v>19</v>
      </c>
      <c r="B20" s="4" t="s">
        <v>13</v>
      </c>
      <c r="C20" s="4" t="s">
        <v>20</v>
      </c>
      <c r="D20" s="4"/>
      <c r="E20" s="4" t="s">
        <v>16</v>
      </c>
      <c r="F20" s="4"/>
      <c r="G20" s="4"/>
      <c r="H20" s="4" t="s">
        <v>4</v>
      </c>
      <c r="I20" s="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F01E-D0C5-48FA-A94A-35BE2C47251A}">
  <dimension ref="A1:I9"/>
  <sheetViews>
    <sheetView workbookViewId="0">
      <selection sqref="A1:I1"/>
    </sheetView>
  </sheetViews>
  <sheetFormatPr defaultRowHeight="14.5" x14ac:dyDescent="0.35"/>
  <cols>
    <col min="2" max="2" width="12.90625" bestFit="1" customWidth="1"/>
    <col min="3" max="3" width="13.54296875" bestFit="1" customWidth="1"/>
    <col min="9" max="9" width="18.2695312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3" cm="1">
        <f t="array" ref="A2:A9">_xlfn.SEQUENCE(8)</f>
        <v>1</v>
      </c>
      <c r="B2" s="3" t="s">
        <v>9</v>
      </c>
      <c r="C2" s="3" t="s">
        <v>18</v>
      </c>
      <c r="D2" s="3"/>
      <c r="E2" s="3" t="s">
        <v>15</v>
      </c>
      <c r="F2" s="3" t="s">
        <v>14</v>
      </c>
      <c r="G2" s="3"/>
      <c r="H2" s="3" t="s">
        <v>21</v>
      </c>
      <c r="I2" s="3" t="s">
        <v>94</v>
      </c>
    </row>
    <row r="3" spans="1:9" x14ac:dyDescent="0.35">
      <c r="A3" s="3">
        <v>2</v>
      </c>
      <c r="B3" s="3" t="s">
        <v>92</v>
      </c>
      <c r="C3" s="3" t="s">
        <v>17</v>
      </c>
      <c r="D3" s="3">
        <v>20</v>
      </c>
      <c r="E3" s="3" t="s">
        <v>15</v>
      </c>
      <c r="F3" s="3"/>
      <c r="G3" s="3"/>
      <c r="H3" s="3"/>
      <c r="I3" s="3" t="s">
        <v>92</v>
      </c>
    </row>
    <row r="4" spans="1:9" x14ac:dyDescent="0.35">
      <c r="A4" s="3">
        <v>3</v>
      </c>
      <c r="B4" s="3" t="s">
        <v>93</v>
      </c>
      <c r="C4" s="3" t="s">
        <v>17</v>
      </c>
      <c r="D4" s="3">
        <v>100</v>
      </c>
      <c r="E4" s="3" t="s">
        <v>15</v>
      </c>
      <c r="F4" s="3"/>
      <c r="G4" s="3"/>
      <c r="H4" s="3"/>
      <c r="I4" s="3" t="s">
        <v>96</v>
      </c>
    </row>
    <row r="5" spans="1:9" x14ac:dyDescent="0.35">
      <c r="A5" s="3">
        <v>4</v>
      </c>
      <c r="B5" s="3" t="s">
        <v>11</v>
      </c>
      <c r="C5" s="3" t="s">
        <v>70</v>
      </c>
      <c r="D5" s="3"/>
      <c r="E5" s="3" t="s">
        <v>16</v>
      </c>
      <c r="F5" s="3"/>
      <c r="G5" s="3"/>
      <c r="H5" s="3" t="s">
        <v>91</v>
      </c>
      <c r="I5" s="3" t="s">
        <v>97</v>
      </c>
    </row>
    <row r="6" spans="1:9" x14ac:dyDescent="0.35">
      <c r="A6" s="3">
        <v>5</v>
      </c>
      <c r="B6" s="3" t="s">
        <v>31</v>
      </c>
      <c r="C6" s="3" t="s">
        <v>17</v>
      </c>
      <c r="D6" s="3">
        <v>255</v>
      </c>
      <c r="E6" s="3" t="s">
        <v>16</v>
      </c>
      <c r="F6" s="3"/>
      <c r="G6" s="3"/>
      <c r="H6" s="3" t="s">
        <v>91</v>
      </c>
      <c r="I6" s="3" t="s">
        <v>95</v>
      </c>
    </row>
    <row r="7" spans="1:9" x14ac:dyDescent="0.35">
      <c r="A7" s="3">
        <v>6</v>
      </c>
      <c r="B7" s="3" t="s">
        <v>32</v>
      </c>
      <c r="C7" s="3" t="s">
        <v>34</v>
      </c>
      <c r="D7" s="3"/>
      <c r="E7" s="3" t="s">
        <v>15</v>
      </c>
      <c r="F7" s="3"/>
      <c r="G7" s="3"/>
      <c r="H7" s="3">
        <v>1</v>
      </c>
      <c r="I7" s="3" t="s">
        <v>98</v>
      </c>
    </row>
    <row r="8" spans="1:9" x14ac:dyDescent="0.35">
      <c r="A8" s="3">
        <v>7</v>
      </c>
      <c r="B8" s="3" t="s">
        <v>12</v>
      </c>
      <c r="C8" s="3" t="s">
        <v>20</v>
      </c>
      <c r="D8" s="3"/>
      <c r="E8" s="3" t="s">
        <v>16</v>
      </c>
      <c r="F8" s="3"/>
      <c r="G8" s="3"/>
      <c r="H8" s="3" t="s">
        <v>91</v>
      </c>
      <c r="I8" s="3" t="s">
        <v>26</v>
      </c>
    </row>
    <row r="9" spans="1:9" x14ac:dyDescent="0.35">
      <c r="A9" s="3">
        <v>8</v>
      </c>
      <c r="B9" s="3" t="s">
        <v>13</v>
      </c>
      <c r="C9" s="3" t="s">
        <v>20</v>
      </c>
      <c r="D9" s="3"/>
      <c r="E9" s="3" t="s">
        <v>16</v>
      </c>
      <c r="F9" s="3"/>
      <c r="G9" s="3"/>
      <c r="H9" s="3" t="s">
        <v>91</v>
      </c>
      <c r="I9" s="3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B27D-01C5-47D0-BC5D-13359D78924C}">
  <dimension ref="A1:I14"/>
  <sheetViews>
    <sheetView topLeftCell="A7" workbookViewId="0">
      <selection sqref="A1:I14"/>
    </sheetView>
  </sheetViews>
  <sheetFormatPr defaultRowHeight="14.5" x14ac:dyDescent="0.35"/>
  <cols>
    <col min="2" max="2" width="17.81640625" bestFit="1" customWidth="1"/>
    <col min="3" max="3" width="13.54296875" bestFit="1" customWidth="1"/>
    <col min="9" max="9" width="10.1796875" bestFit="1" customWidth="1"/>
  </cols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111</v>
      </c>
      <c r="H2" s="9" t="s">
        <v>114</v>
      </c>
      <c r="I2" s="9" t="s">
        <v>115</v>
      </c>
    </row>
    <row r="3" spans="1:9" ht="43.5" x14ac:dyDescent="0.35">
      <c r="A3" s="9">
        <v>2</v>
      </c>
      <c r="B3" s="9" t="s">
        <v>10</v>
      </c>
      <c r="C3" s="9" t="s">
        <v>116</v>
      </c>
      <c r="D3" s="9">
        <v>100</v>
      </c>
      <c r="E3" s="9" t="s">
        <v>112</v>
      </c>
      <c r="F3" s="9"/>
      <c r="G3" s="9"/>
      <c r="H3" s="9"/>
      <c r="I3" s="9" t="s">
        <v>117</v>
      </c>
    </row>
    <row r="4" spans="1:9" ht="43.5" x14ac:dyDescent="0.35">
      <c r="A4" s="9">
        <v>3</v>
      </c>
      <c r="B4" s="9" t="s">
        <v>99</v>
      </c>
      <c r="C4" s="9" t="s">
        <v>116</v>
      </c>
      <c r="D4" s="9">
        <v>30</v>
      </c>
      <c r="E4" s="9" t="s">
        <v>118</v>
      </c>
      <c r="F4" s="9"/>
      <c r="G4" s="9"/>
      <c r="H4" s="9" t="s">
        <v>22</v>
      </c>
      <c r="I4" s="9" t="s">
        <v>119</v>
      </c>
    </row>
    <row r="5" spans="1:9" ht="101.5" x14ac:dyDescent="0.35">
      <c r="A5" s="9">
        <v>4</v>
      </c>
      <c r="B5" s="9" t="s">
        <v>100</v>
      </c>
      <c r="C5" s="9" t="s">
        <v>116</v>
      </c>
      <c r="D5" s="9">
        <v>30</v>
      </c>
      <c r="E5" s="9" t="s">
        <v>118</v>
      </c>
      <c r="F5" s="9"/>
      <c r="G5" s="9"/>
      <c r="H5" s="9" t="s">
        <v>22</v>
      </c>
      <c r="I5" s="9" t="s">
        <v>120</v>
      </c>
    </row>
    <row r="6" spans="1:9" ht="29" x14ac:dyDescent="0.35">
      <c r="A6" s="9">
        <v>5</v>
      </c>
      <c r="B6" s="9" t="s">
        <v>101</v>
      </c>
      <c r="C6" s="9" t="s">
        <v>116</v>
      </c>
      <c r="D6" s="9">
        <v>100</v>
      </c>
      <c r="E6" s="9" t="s">
        <v>112</v>
      </c>
      <c r="F6" s="9"/>
      <c r="G6" s="9"/>
      <c r="H6" s="9"/>
      <c r="I6" s="9" t="s">
        <v>121</v>
      </c>
    </row>
    <row r="7" spans="1:9" ht="58" x14ac:dyDescent="0.35">
      <c r="A7" s="9">
        <v>6</v>
      </c>
      <c r="B7" s="9" t="s">
        <v>102</v>
      </c>
      <c r="C7" s="9" t="s">
        <v>116</v>
      </c>
      <c r="D7" s="9">
        <v>100</v>
      </c>
      <c r="E7" s="9" t="s">
        <v>118</v>
      </c>
      <c r="F7" s="9"/>
      <c r="G7" s="9"/>
      <c r="H7" s="9" t="s">
        <v>22</v>
      </c>
      <c r="I7" s="9" t="s">
        <v>122</v>
      </c>
    </row>
    <row r="8" spans="1:9" ht="29" x14ac:dyDescent="0.35">
      <c r="A8" s="9">
        <v>7</v>
      </c>
      <c r="B8" s="9" t="s">
        <v>103</v>
      </c>
      <c r="C8" s="9" t="s">
        <v>116</v>
      </c>
      <c r="D8" s="9">
        <v>100</v>
      </c>
      <c r="E8" s="9" t="s">
        <v>118</v>
      </c>
      <c r="F8" s="9"/>
      <c r="G8" s="9"/>
      <c r="H8" s="9" t="s">
        <v>22</v>
      </c>
      <c r="I8" s="9" t="s">
        <v>123</v>
      </c>
    </row>
    <row r="9" spans="1:9" ht="43.5" x14ac:dyDescent="0.35">
      <c r="A9" s="9">
        <v>8</v>
      </c>
      <c r="B9" s="9" t="s">
        <v>104</v>
      </c>
      <c r="C9" s="9" t="s">
        <v>124</v>
      </c>
      <c r="D9" s="9" t="s">
        <v>111</v>
      </c>
      <c r="E9" s="9" t="s">
        <v>112</v>
      </c>
      <c r="F9" s="9"/>
      <c r="G9" s="9"/>
      <c r="H9" s="9" t="s">
        <v>125</v>
      </c>
      <c r="I9" s="9" t="s">
        <v>126</v>
      </c>
    </row>
    <row r="10" spans="1:9" x14ac:dyDescent="0.35">
      <c r="A10" s="9">
        <v>9</v>
      </c>
      <c r="B10" s="9" t="s">
        <v>31</v>
      </c>
      <c r="C10" s="9" t="s">
        <v>116</v>
      </c>
      <c r="D10" s="9">
        <v>255</v>
      </c>
      <c r="E10" s="9" t="s">
        <v>118</v>
      </c>
      <c r="F10" s="9"/>
      <c r="G10" s="9"/>
      <c r="H10" s="9" t="s">
        <v>22</v>
      </c>
      <c r="I10" s="9" t="s">
        <v>127</v>
      </c>
    </row>
    <row r="11" spans="1:9" ht="29" x14ac:dyDescent="0.35">
      <c r="A11" s="9">
        <v>10</v>
      </c>
      <c r="B11" s="9" t="s">
        <v>105</v>
      </c>
      <c r="C11" s="9" t="s">
        <v>128</v>
      </c>
      <c r="D11" s="9" t="s">
        <v>111</v>
      </c>
      <c r="E11" s="9" t="s">
        <v>112</v>
      </c>
      <c r="F11" s="9"/>
      <c r="G11" s="9"/>
      <c r="H11" s="9">
        <v>0</v>
      </c>
      <c r="I11" s="9" t="s">
        <v>129</v>
      </c>
    </row>
    <row r="12" spans="1:9" x14ac:dyDescent="0.35">
      <c r="A12" s="9">
        <v>11</v>
      </c>
      <c r="B12" s="9" t="s">
        <v>32</v>
      </c>
      <c r="C12" s="9" t="s">
        <v>130</v>
      </c>
      <c r="D12" s="9" t="s">
        <v>111</v>
      </c>
      <c r="E12" s="9" t="s">
        <v>112</v>
      </c>
      <c r="F12" s="9"/>
      <c r="G12" s="9"/>
      <c r="H12" s="9">
        <v>1</v>
      </c>
      <c r="I12" s="9" t="s">
        <v>131</v>
      </c>
    </row>
    <row r="13" spans="1:9" ht="29" x14ac:dyDescent="0.35">
      <c r="A13" s="9">
        <v>12</v>
      </c>
      <c r="B13" s="9" t="s">
        <v>12</v>
      </c>
      <c r="C13" s="9" t="s">
        <v>132</v>
      </c>
      <c r="D13" s="9" t="s">
        <v>111</v>
      </c>
      <c r="E13" s="9" t="s">
        <v>118</v>
      </c>
      <c r="F13" s="9"/>
      <c r="G13" s="9"/>
      <c r="H13" s="9" t="s">
        <v>22</v>
      </c>
      <c r="I13" s="9" t="s">
        <v>133</v>
      </c>
    </row>
    <row r="14" spans="1:9" ht="29" x14ac:dyDescent="0.35">
      <c r="A14" s="9">
        <v>13</v>
      </c>
      <c r="B14" s="9" t="s">
        <v>13</v>
      </c>
      <c r="C14" s="9" t="s">
        <v>132</v>
      </c>
      <c r="D14" s="9" t="s">
        <v>111</v>
      </c>
      <c r="E14" s="9" t="s">
        <v>118</v>
      </c>
      <c r="F14" s="9"/>
      <c r="G14" s="9"/>
      <c r="H14" s="9" t="s">
        <v>22</v>
      </c>
      <c r="I14" s="9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B105-47E9-490A-AB77-930E3595109A}">
  <dimension ref="A1:I11"/>
  <sheetViews>
    <sheetView workbookViewId="0">
      <selection sqref="A1:I11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135</v>
      </c>
    </row>
    <row r="3" spans="1:9" ht="43.5" x14ac:dyDescent="0.35">
      <c r="A3" s="9">
        <v>2</v>
      </c>
      <c r="B3" s="9" t="s">
        <v>44</v>
      </c>
      <c r="C3" s="9" t="s">
        <v>110</v>
      </c>
      <c r="D3" s="9" t="s">
        <v>111</v>
      </c>
      <c r="E3" s="9" t="s">
        <v>112</v>
      </c>
      <c r="F3" s="9"/>
      <c r="G3" s="9" t="s">
        <v>136</v>
      </c>
      <c r="H3" s="9"/>
      <c r="I3" s="9" t="s">
        <v>137</v>
      </c>
    </row>
    <row r="4" spans="1:9" ht="29" x14ac:dyDescent="0.35">
      <c r="A4" s="9">
        <v>3</v>
      </c>
      <c r="B4" s="9" t="s">
        <v>138</v>
      </c>
      <c r="C4" s="9" t="s">
        <v>116</v>
      </c>
      <c r="D4" s="9">
        <v>255</v>
      </c>
      <c r="E4" s="9" t="s">
        <v>112</v>
      </c>
      <c r="F4" s="9"/>
      <c r="G4" s="9"/>
      <c r="H4" s="9"/>
      <c r="I4" s="9" t="s">
        <v>139</v>
      </c>
    </row>
    <row r="5" spans="1:9" ht="29" x14ac:dyDescent="0.35">
      <c r="A5" s="9">
        <v>4</v>
      </c>
      <c r="B5" s="9" t="s">
        <v>140</v>
      </c>
      <c r="C5" s="9" t="s">
        <v>116</v>
      </c>
      <c r="D5" s="9">
        <v>255</v>
      </c>
      <c r="E5" s="9" t="s">
        <v>112</v>
      </c>
      <c r="F5" s="9"/>
      <c r="G5" s="9"/>
      <c r="H5" s="9"/>
      <c r="I5" s="9" t="s">
        <v>141</v>
      </c>
    </row>
    <row r="6" spans="1:9" ht="29" x14ac:dyDescent="0.35">
      <c r="A6" s="9">
        <v>5</v>
      </c>
      <c r="B6" s="9" t="s">
        <v>142</v>
      </c>
      <c r="C6" s="9" t="s">
        <v>116</v>
      </c>
      <c r="D6" s="9">
        <v>255</v>
      </c>
      <c r="E6" s="9" t="s">
        <v>118</v>
      </c>
      <c r="F6" s="9"/>
      <c r="G6" s="9"/>
      <c r="H6" s="9" t="s">
        <v>22</v>
      </c>
      <c r="I6" s="9" t="s">
        <v>143</v>
      </c>
    </row>
    <row r="7" spans="1:9" ht="29" x14ac:dyDescent="0.35">
      <c r="A7" s="9">
        <v>6</v>
      </c>
      <c r="B7" s="9" t="s">
        <v>144</v>
      </c>
      <c r="C7" s="9" t="s">
        <v>145</v>
      </c>
      <c r="D7" s="9" t="s">
        <v>111</v>
      </c>
      <c r="E7" s="9" t="s">
        <v>112</v>
      </c>
      <c r="F7" s="9"/>
      <c r="G7" s="9"/>
      <c r="H7" s="9"/>
      <c r="I7" s="9" t="s">
        <v>146</v>
      </c>
    </row>
    <row r="8" spans="1:9" ht="43.5" x14ac:dyDescent="0.35">
      <c r="A8" s="9">
        <v>7</v>
      </c>
      <c r="B8" s="9" t="s">
        <v>104</v>
      </c>
      <c r="C8" s="9" t="s">
        <v>124</v>
      </c>
      <c r="D8" s="9" t="s">
        <v>111</v>
      </c>
      <c r="E8" s="9" t="s">
        <v>112</v>
      </c>
      <c r="F8" s="9"/>
      <c r="G8" s="9"/>
      <c r="H8" s="9" t="s">
        <v>147</v>
      </c>
      <c r="I8" s="9" t="s">
        <v>148</v>
      </c>
    </row>
    <row r="9" spans="1:9" ht="29" x14ac:dyDescent="0.35">
      <c r="A9" s="9">
        <v>8</v>
      </c>
      <c r="B9" s="9" t="s">
        <v>149</v>
      </c>
      <c r="C9" s="9" t="s">
        <v>150</v>
      </c>
      <c r="D9" s="9" t="s">
        <v>111</v>
      </c>
      <c r="E9" s="9" t="s">
        <v>118</v>
      </c>
      <c r="F9" s="9"/>
      <c r="G9" s="9"/>
      <c r="H9" s="9" t="s">
        <v>22</v>
      </c>
      <c r="I9" s="9" t="s">
        <v>151</v>
      </c>
    </row>
    <row r="10" spans="1:9" ht="29" x14ac:dyDescent="0.35">
      <c r="A10" s="9">
        <v>9</v>
      </c>
      <c r="B10" s="9" t="s">
        <v>12</v>
      </c>
      <c r="C10" s="9" t="s">
        <v>132</v>
      </c>
      <c r="D10" s="9" t="s">
        <v>111</v>
      </c>
      <c r="E10" s="9" t="s">
        <v>118</v>
      </c>
      <c r="F10" s="9"/>
      <c r="G10" s="9"/>
      <c r="H10" s="9" t="s">
        <v>22</v>
      </c>
      <c r="I10" s="9" t="s">
        <v>133</v>
      </c>
    </row>
    <row r="11" spans="1:9" ht="43.5" x14ac:dyDescent="0.35">
      <c r="A11" s="9">
        <v>10</v>
      </c>
      <c r="B11" s="9" t="s">
        <v>13</v>
      </c>
      <c r="C11" s="9" t="s">
        <v>132</v>
      </c>
      <c r="D11" s="9" t="s">
        <v>111</v>
      </c>
      <c r="E11" s="9" t="s">
        <v>118</v>
      </c>
      <c r="F11" s="9"/>
      <c r="G11" s="9"/>
      <c r="H11" s="9" t="s">
        <v>22</v>
      </c>
      <c r="I11" s="9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B0B6-C66D-4034-9377-7D810654FD7A}">
  <dimension ref="A1:I8"/>
  <sheetViews>
    <sheetView topLeftCell="A7" workbookViewId="0">
      <selection sqref="A1:I8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152</v>
      </c>
    </row>
    <row r="3" spans="1:9" ht="29" x14ac:dyDescent="0.35">
      <c r="A3" s="9">
        <v>2</v>
      </c>
      <c r="B3" s="9" t="s">
        <v>138</v>
      </c>
      <c r="C3" s="9" t="s">
        <v>116</v>
      </c>
      <c r="D3" s="9">
        <v>255</v>
      </c>
      <c r="E3" s="9" t="s">
        <v>112</v>
      </c>
      <c r="F3" s="9"/>
      <c r="G3" s="9"/>
      <c r="H3" s="9"/>
      <c r="I3" s="9" t="s">
        <v>153</v>
      </c>
    </row>
    <row r="4" spans="1:9" ht="29" x14ac:dyDescent="0.35">
      <c r="A4" s="9">
        <v>3</v>
      </c>
      <c r="B4" s="9" t="s">
        <v>31</v>
      </c>
      <c r="C4" s="9" t="s">
        <v>116</v>
      </c>
      <c r="D4" s="9">
        <v>255</v>
      </c>
      <c r="E4" s="9" t="s">
        <v>112</v>
      </c>
      <c r="F4" s="9"/>
      <c r="G4" s="9"/>
      <c r="H4" s="9"/>
      <c r="I4" s="9" t="s">
        <v>154</v>
      </c>
    </row>
    <row r="5" spans="1:9" ht="29" x14ac:dyDescent="0.35">
      <c r="A5" s="9">
        <v>4</v>
      </c>
      <c r="B5" s="9" t="s">
        <v>8</v>
      </c>
      <c r="C5" s="9" t="s">
        <v>155</v>
      </c>
      <c r="D5" s="9" t="s">
        <v>111</v>
      </c>
      <c r="E5" s="9" t="s">
        <v>118</v>
      </c>
      <c r="F5" s="9"/>
      <c r="G5" s="9"/>
      <c r="H5" s="9" t="s">
        <v>22</v>
      </c>
      <c r="I5" s="9" t="s">
        <v>156</v>
      </c>
    </row>
    <row r="6" spans="1:9" ht="29" x14ac:dyDescent="0.35">
      <c r="A6" s="9">
        <v>5</v>
      </c>
      <c r="B6" s="9" t="s">
        <v>157</v>
      </c>
      <c r="C6" s="9" t="s">
        <v>158</v>
      </c>
      <c r="D6" s="9" t="s">
        <v>111</v>
      </c>
      <c r="E6" s="9" t="s">
        <v>118</v>
      </c>
      <c r="F6" s="9"/>
      <c r="G6" s="9"/>
      <c r="H6" s="9" t="s">
        <v>22</v>
      </c>
      <c r="I6" s="9" t="s">
        <v>159</v>
      </c>
    </row>
    <row r="7" spans="1:9" ht="29" x14ac:dyDescent="0.35">
      <c r="A7" s="9">
        <v>6</v>
      </c>
      <c r="B7" s="9" t="s">
        <v>12</v>
      </c>
      <c r="C7" s="9" t="s">
        <v>132</v>
      </c>
      <c r="D7" s="9" t="s">
        <v>111</v>
      </c>
      <c r="E7" s="9" t="s">
        <v>118</v>
      </c>
      <c r="F7" s="9"/>
      <c r="G7" s="9"/>
      <c r="H7" s="9" t="s">
        <v>22</v>
      </c>
      <c r="I7" s="9" t="s">
        <v>133</v>
      </c>
    </row>
    <row r="8" spans="1:9" ht="43.5" x14ac:dyDescent="0.35">
      <c r="A8" s="9">
        <v>7</v>
      </c>
      <c r="B8" s="9" t="s">
        <v>13</v>
      </c>
      <c r="C8" s="9" t="s">
        <v>132</v>
      </c>
      <c r="D8" s="9" t="s">
        <v>111</v>
      </c>
      <c r="E8" s="9" t="s">
        <v>118</v>
      </c>
      <c r="F8" s="9"/>
      <c r="G8" s="9"/>
      <c r="H8" s="9" t="s">
        <v>22</v>
      </c>
      <c r="I8" s="9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9222-D0B2-4C4A-B7F6-52B27873B127}">
  <dimension ref="A1:I8"/>
  <sheetViews>
    <sheetView topLeftCell="A4" workbookViewId="0">
      <selection sqref="A1:I8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160</v>
      </c>
    </row>
    <row r="3" spans="1:9" ht="43.5" x14ac:dyDescent="0.35">
      <c r="A3" s="9">
        <v>2</v>
      </c>
      <c r="B3" s="9" t="s">
        <v>161</v>
      </c>
      <c r="C3" s="9" t="s">
        <v>116</v>
      </c>
      <c r="D3" s="9">
        <v>20</v>
      </c>
      <c r="E3" s="9" t="s">
        <v>112</v>
      </c>
      <c r="F3" s="9"/>
      <c r="G3" s="9"/>
      <c r="H3" s="9"/>
      <c r="I3" s="9" t="s">
        <v>162</v>
      </c>
    </row>
    <row r="4" spans="1:9" ht="58" x14ac:dyDescent="0.35">
      <c r="A4" s="9">
        <v>3</v>
      </c>
      <c r="B4" s="9" t="s">
        <v>163</v>
      </c>
      <c r="C4" s="9" t="s">
        <v>158</v>
      </c>
      <c r="D4" s="9" t="s">
        <v>111</v>
      </c>
      <c r="E4" s="9" t="s">
        <v>112</v>
      </c>
      <c r="F4" s="9"/>
      <c r="G4" s="9"/>
      <c r="H4" s="9"/>
      <c r="I4" s="9" t="s">
        <v>164</v>
      </c>
    </row>
    <row r="5" spans="1:9" ht="58" x14ac:dyDescent="0.35">
      <c r="A5" s="9">
        <v>4</v>
      </c>
      <c r="B5" s="9" t="s">
        <v>165</v>
      </c>
      <c r="C5" s="9" t="s">
        <v>158</v>
      </c>
      <c r="D5" s="9" t="s">
        <v>111</v>
      </c>
      <c r="E5" s="9" t="s">
        <v>112</v>
      </c>
      <c r="F5" s="9"/>
      <c r="G5" s="9"/>
      <c r="H5" s="9"/>
      <c r="I5" s="9" t="s">
        <v>166</v>
      </c>
    </row>
    <row r="6" spans="1:9" ht="43.5" x14ac:dyDescent="0.35">
      <c r="A6" s="9">
        <v>5</v>
      </c>
      <c r="B6" s="9" t="s">
        <v>104</v>
      </c>
      <c r="C6" s="9" t="s">
        <v>124</v>
      </c>
      <c r="D6" s="9" t="s">
        <v>111</v>
      </c>
      <c r="E6" s="9" t="s">
        <v>112</v>
      </c>
      <c r="F6" s="9"/>
      <c r="G6" s="9"/>
      <c r="H6" s="9" t="s">
        <v>167</v>
      </c>
      <c r="I6" s="9" t="s">
        <v>168</v>
      </c>
    </row>
    <row r="7" spans="1:9" ht="29" x14ac:dyDescent="0.35">
      <c r="A7" s="9">
        <v>6</v>
      </c>
      <c r="B7" s="9" t="s">
        <v>12</v>
      </c>
      <c r="C7" s="9" t="s">
        <v>132</v>
      </c>
      <c r="D7" s="9" t="s">
        <v>111</v>
      </c>
      <c r="E7" s="9" t="s">
        <v>118</v>
      </c>
      <c r="F7" s="9"/>
      <c r="G7" s="9"/>
      <c r="H7" s="9" t="s">
        <v>22</v>
      </c>
      <c r="I7" s="9" t="s">
        <v>133</v>
      </c>
    </row>
    <row r="8" spans="1:9" ht="43.5" x14ac:dyDescent="0.35">
      <c r="A8" s="9">
        <v>7</v>
      </c>
      <c r="B8" s="9" t="s">
        <v>13</v>
      </c>
      <c r="C8" s="9" t="s">
        <v>132</v>
      </c>
      <c r="D8" s="9" t="s">
        <v>111</v>
      </c>
      <c r="E8" s="9" t="s">
        <v>118</v>
      </c>
      <c r="F8" s="9"/>
      <c r="G8" s="9"/>
      <c r="H8" s="9" t="s">
        <v>22</v>
      </c>
      <c r="I8" s="9" t="s">
        <v>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309C-1418-4BA8-96BA-72E75D694E93}">
  <dimension ref="A1:I19"/>
  <sheetViews>
    <sheetView topLeftCell="A4" workbookViewId="0">
      <selection sqref="A1:I19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169</v>
      </c>
    </row>
    <row r="3" spans="1:9" ht="43.5" x14ac:dyDescent="0.35">
      <c r="A3" s="9">
        <v>2</v>
      </c>
      <c r="B3" s="9" t="s">
        <v>170</v>
      </c>
      <c r="C3" s="9" t="s">
        <v>110</v>
      </c>
      <c r="D3" s="9" t="s">
        <v>111</v>
      </c>
      <c r="E3" s="9" t="s">
        <v>112</v>
      </c>
      <c r="F3" s="9"/>
      <c r="G3" s="9" t="s">
        <v>171</v>
      </c>
      <c r="H3" s="9"/>
      <c r="I3" s="9" t="s">
        <v>172</v>
      </c>
    </row>
    <row r="4" spans="1:9" ht="87" x14ac:dyDescent="0.35">
      <c r="A4" s="9">
        <v>3</v>
      </c>
      <c r="B4" s="9" t="s">
        <v>173</v>
      </c>
      <c r="C4" s="9" t="s">
        <v>110</v>
      </c>
      <c r="D4" s="9" t="s">
        <v>111</v>
      </c>
      <c r="E4" s="9" t="s">
        <v>118</v>
      </c>
      <c r="F4" s="9"/>
      <c r="G4" s="9" t="s">
        <v>174</v>
      </c>
      <c r="H4" s="9" t="s">
        <v>22</v>
      </c>
      <c r="I4" s="9" t="s">
        <v>175</v>
      </c>
    </row>
    <row r="5" spans="1:9" ht="58" x14ac:dyDescent="0.35">
      <c r="A5" s="9">
        <v>4</v>
      </c>
      <c r="B5" s="9" t="s">
        <v>176</v>
      </c>
      <c r="C5" s="9" t="s">
        <v>116</v>
      </c>
      <c r="D5" s="9">
        <v>30</v>
      </c>
      <c r="E5" s="9" t="s">
        <v>118</v>
      </c>
      <c r="F5" s="9"/>
      <c r="G5" s="9"/>
      <c r="H5" s="9" t="s">
        <v>22</v>
      </c>
      <c r="I5" s="9" t="s">
        <v>177</v>
      </c>
    </row>
    <row r="6" spans="1:9" ht="29" x14ac:dyDescent="0.35">
      <c r="A6" s="9">
        <v>5</v>
      </c>
      <c r="B6" s="9" t="s">
        <v>10</v>
      </c>
      <c r="C6" s="9" t="s">
        <v>116</v>
      </c>
      <c r="D6" s="9">
        <v>100</v>
      </c>
      <c r="E6" s="9" t="s">
        <v>112</v>
      </c>
      <c r="F6" s="9"/>
      <c r="G6" s="9"/>
      <c r="H6" s="9"/>
      <c r="I6" s="9" t="s">
        <v>178</v>
      </c>
    </row>
    <row r="7" spans="1:9" ht="29" x14ac:dyDescent="0.35">
      <c r="A7" s="9">
        <v>6</v>
      </c>
      <c r="B7" s="9" t="s">
        <v>179</v>
      </c>
      <c r="C7" s="9" t="s">
        <v>116</v>
      </c>
      <c r="D7" s="9">
        <v>20</v>
      </c>
      <c r="E7" s="9" t="s">
        <v>112</v>
      </c>
      <c r="F7" s="9"/>
      <c r="G7" s="9"/>
      <c r="H7" s="9"/>
      <c r="I7" s="9" t="s">
        <v>180</v>
      </c>
    </row>
    <row r="8" spans="1:9" ht="29" x14ac:dyDescent="0.35">
      <c r="A8" s="9">
        <v>7</v>
      </c>
      <c r="B8" s="9" t="s">
        <v>181</v>
      </c>
      <c r="C8" s="9" t="s">
        <v>116</v>
      </c>
      <c r="D8" s="9">
        <v>20</v>
      </c>
      <c r="E8" s="9" t="s">
        <v>112</v>
      </c>
      <c r="F8" s="9"/>
      <c r="G8" s="9"/>
      <c r="H8" s="9"/>
      <c r="I8" s="9" t="s">
        <v>182</v>
      </c>
    </row>
    <row r="9" spans="1:9" ht="29" x14ac:dyDescent="0.35">
      <c r="A9" s="9">
        <v>8</v>
      </c>
      <c r="B9" s="9" t="s">
        <v>183</v>
      </c>
      <c r="C9" s="9" t="s">
        <v>116</v>
      </c>
      <c r="D9" s="9">
        <v>100</v>
      </c>
      <c r="E9" s="9" t="s">
        <v>112</v>
      </c>
      <c r="F9" s="9"/>
      <c r="G9" s="9"/>
      <c r="H9" s="9"/>
      <c r="I9" s="9" t="s">
        <v>184</v>
      </c>
    </row>
    <row r="10" spans="1:9" ht="29" x14ac:dyDescent="0.35">
      <c r="A10" s="9">
        <v>9</v>
      </c>
      <c r="B10" s="9" t="s">
        <v>185</v>
      </c>
      <c r="C10" s="9" t="s">
        <v>158</v>
      </c>
      <c r="D10" s="9" t="s">
        <v>111</v>
      </c>
      <c r="E10" s="9" t="s">
        <v>112</v>
      </c>
      <c r="F10" s="9"/>
      <c r="G10" s="9"/>
      <c r="H10" s="9"/>
      <c r="I10" s="9" t="s">
        <v>186</v>
      </c>
    </row>
    <row r="11" spans="1:9" ht="29" x14ac:dyDescent="0.35">
      <c r="A11" s="9">
        <v>10</v>
      </c>
      <c r="B11" s="9" t="s">
        <v>187</v>
      </c>
      <c r="C11" s="9" t="s">
        <v>124</v>
      </c>
      <c r="D11" s="9" t="s">
        <v>111</v>
      </c>
      <c r="E11" s="9" t="s">
        <v>112</v>
      </c>
      <c r="F11" s="9"/>
      <c r="G11" s="9"/>
      <c r="H11" s="9"/>
      <c r="I11" s="9" t="s">
        <v>188</v>
      </c>
    </row>
    <row r="12" spans="1:9" ht="29" x14ac:dyDescent="0.35">
      <c r="A12" s="9">
        <v>11</v>
      </c>
      <c r="B12" s="9" t="s">
        <v>189</v>
      </c>
      <c r="C12" s="9" t="s">
        <v>116</v>
      </c>
      <c r="D12" s="9">
        <v>20</v>
      </c>
      <c r="E12" s="9" t="s">
        <v>112</v>
      </c>
      <c r="F12" s="9"/>
      <c r="G12" s="9"/>
      <c r="H12" s="9"/>
      <c r="I12" s="9" t="s">
        <v>190</v>
      </c>
    </row>
    <row r="13" spans="1:9" ht="29" x14ac:dyDescent="0.35">
      <c r="A13" s="9">
        <v>12</v>
      </c>
      <c r="B13" s="9" t="s">
        <v>62</v>
      </c>
      <c r="C13" s="9" t="s">
        <v>155</v>
      </c>
      <c r="D13" s="9" t="s">
        <v>111</v>
      </c>
      <c r="E13" s="9" t="s">
        <v>112</v>
      </c>
      <c r="F13" s="9"/>
      <c r="G13" s="9"/>
      <c r="H13" s="9"/>
      <c r="I13" s="9" t="s">
        <v>191</v>
      </c>
    </row>
    <row r="14" spans="1:9" ht="29" x14ac:dyDescent="0.35">
      <c r="A14" s="9">
        <v>13</v>
      </c>
      <c r="B14" s="9" t="s">
        <v>192</v>
      </c>
      <c r="C14" s="9" t="s">
        <v>116</v>
      </c>
      <c r="D14" s="9">
        <v>150</v>
      </c>
      <c r="E14" s="9" t="s">
        <v>112</v>
      </c>
      <c r="F14" s="9"/>
      <c r="G14" s="9"/>
      <c r="H14" s="9"/>
      <c r="I14" s="9" t="s">
        <v>193</v>
      </c>
    </row>
    <row r="15" spans="1:9" ht="29" x14ac:dyDescent="0.35">
      <c r="A15" s="9">
        <v>14</v>
      </c>
      <c r="B15" s="9" t="s">
        <v>194</v>
      </c>
      <c r="C15" s="9" t="s">
        <v>116</v>
      </c>
      <c r="D15" s="9">
        <v>20</v>
      </c>
      <c r="E15" s="9" t="s">
        <v>118</v>
      </c>
      <c r="F15" s="9"/>
      <c r="G15" s="9"/>
      <c r="H15" s="9" t="s">
        <v>22</v>
      </c>
      <c r="I15" s="9" t="s">
        <v>195</v>
      </c>
    </row>
    <row r="16" spans="1:9" ht="43.5" x14ac:dyDescent="0.35">
      <c r="A16" s="9">
        <v>15</v>
      </c>
      <c r="B16" s="9" t="s">
        <v>196</v>
      </c>
      <c r="C16" s="9" t="s">
        <v>197</v>
      </c>
      <c r="D16" s="9" t="s">
        <v>111</v>
      </c>
      <c r="E16" s="9" t="s">
        <v>112</v>
      </c>
      <c r="F16" s="9"/>
      <c r="G16" s="9"/>
      <c r="H16" s="9">
        <v>1</v>
      </c>
      <c r="I16" s="9" t="s">
        <v>198</v>
      </c>
    </row>
    <row r="17" spans="1:9" ht="101.5" x14ac:dyDescent="0.35">
      <c r="A17" s="9">
        <v>16</v>
      </c>
      <c r="B17" s="9" t="s">
        <v>199</v>
      </c>
      <c r="C17" s="9" t="s">
        <v>124</v>
      </c>
      <c r="D17" s="9" t="s">
        <v>111</v>
      </c>
      <c r="E17" s="9" t="s">
        <v>112</v>
      </c>
      <c r="F17" s="9"/>
      <c r="G17" s="9"/>
      <c r="H17" s="9" t="s">
        <v>200</v>
      </c>
      <c r="I17" s="9" t="s">
        <v>201</v>
      </c>
    </row>
    <row r="18" spans="1:9" ht="29" x14ac:dyDescent="0.35">
      <c r="A18" s="9">
        <v>17</v>
      </c>
      <c r="B18" s="9" t="s">
        <v>12</v>
      </c>
      <c r="C18" s="9" t="s">
        <v>132</v>
      </c>
      <c r="D18" s="9" t="s">
        <v>111</v>
      </c>
      <c r="E18" s="9" t="s">
        <v>118</v>
      </c>
      <c r="F18" s="9"/>
      <c r="G18" s="9"/>
      <c r="H18" s="9" t="s">
        <v>22</v>
      </c>
      <c r="I18" s="9" t="s">
        <v>133</v>
      </c>
    </row>
    <row r="19" spans="1:9" ht="43.5" x14ac:dyDescent="0.35">
      <c r="A19" s="9">
        <v>18</v>
      </c>
      <c r="B19" s="9" t="s">
        <v>13</v>
      </c>
      <c r="C19" s="9" t="s">
        <v>132</v>
      </c>
      <c r="D19" s="9" t="s">
        <v>111</v>
      </c>
      <c r="E19" s="9" t="s">
        <v>118</v>
      </c>
      <c r="F19" s="9"/>
      <c r="G19" s="9"/>
      <c r="H19" s="9" t="s">
        <v>22</v>
      </c>
      <c r="I19" s="9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C862-62A2-4A8B-BA76-CD0DF404FF32}">
  <dimension ref="A1:I11"/>
  <sheetViews>
    <sheetView workbookViewId="0">
      <selection sqref="A1:I11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202</v>
      </c>
    </row>
    <row r="3" spans="1:9" ht="43.5" x14ac:dyDescent="0.35">
      <c r="A3" s="9">
        <v>2</v>
      </c>
      <c r="B3" s="9" t="s">
        <v>203</v>
      </c>
      <c r="C3" s="9" t="s">
        <v>110</v>
      </c>
      <c r="D3" s="9" t="s">
        <v>111</v>
      </c>
      <c r="E3" s="9" t="s">
        <v>112</v>
      </c>
      <c r="F3" s="9"/>
      <c r="G3" s="9" t="s">
        <v>204</v>
      </c>
      <c r="H3" s="9"/>
      <c r="I3" s="9" t="s">
        <v>205</v>
      </c>
    </row>
    <row r="4" spans="1:9" ht="29" x14ac:dyDescent="0.35">
      <c r="A4" s="9">
        <v>3</v>
      </c>
      <c r="B4" s="9" t="s">
        <v>206</v>
      </c>
      <c r="C4" s="9" t="s">
        <v>116</v>
      </c>
      <c r="D4" s="9">
        <v>100</v>
      </c>
      <c r="E4" s="9" t="s">
        <v>112</v>
      </c>
      <c r="F4" s="9"/>
      <c r="G4" s="9"/>
      <c r="H4" s="9"/>
      <c r="I4" s="9" t="s">
        <v>207</v>
      </c>
    </row>
    <row r="5" spans="1:9" ht="29" x14ac:dyDescent="0.35">
      <c r="A5" s="9">
        <v>4</v>
      </c>
      <c r="B5" s="9" t="s">
        <v>208</v>
      </c>
      <c r="C5" s="9" t="s">
        <v>116</v>
      </c>
      <c r="D5" s="9">
        <v>100</v>
      </c>
      <c r="E5" s="9" t="s">
        <v>118</v>
      </c>
      <c r="F5" s="9"/>
      <c r="G5" s="9"/>
      <c r="H5" s="9" t="s">
        <v>22</v>
      </c>
      <c r="I5" s="9" t="s">
        <v>209</v>
      </c>
    </row>
    <row r="6" spans="1:9" ht="29" x14ac:dyDescent="0.35">
      <c r="A6" s="9">
        <v>5</v>
      </c>
      <c r="B6" s="9" t="s">
        <v>210</v>
      </c>
      <c r="C6" s="9" t="s">
        <v>116</v>
      </c>
      <c r="D6" s="9">
        <v>100</v>
      </c>
      <c r="E6" s="9" t="s">
        <v>112</v>
      </c>
      <c r="F6" s="9"/>
      <c r="G6" s="9"/>
      <c r="H6" s="9"/>
      <c r="I6" s="9" t="s">
        <v>211</v>
      </c>
    </row>
    <row r="7" spans="1:9" ht="29" x14ac:dyDescent="0.35">
      <c r="A7" s="9">
        <v>6</v>
      </c>
      <c r="B7" s="9" t="s">
        <v>212</v>
      </c>
      <c r="C7" s="9" t="s">
        <v>116</v>
      </c>
      <c r="D7" s="9">
        <v>100</v>
      </c>
      <c r="E7" s="9" t="s">
        <v>118</v>
      </c>
      <c r="F7" s="9"/>
      <c r="G7" s="9"/>
      <c r="H7" s="9" t="s">
        <v>22</v>
      </c>
      <c r="I7" s="9" t="s">
        <v>213</v>
      </c>
    </row>
    <row r="8" spans="1:9" ht="43.5" x14ac:dyDescent="0.35">
      <c r="A8" s="9">
        <v>7</v>
      </c>
      <c r="B8" s="9" t="s">
        <v>214</v>
      </c>
      <c r="C8" s="9" t="s">
        <v>116</v>
      </c>
      <c r="D8" s="9">
        <v>20</v>
      </c>
      <c r="E8" s="9" t="s">
        <v>118</v>
      </c>
      <c r="F8" s="9"/>
      <c r="G8" s="9"/>
      <c r="H8" s="9" t="s">
        <v>22</v>
      </c>
      <c r="I8" s="9" t="s">
        <v>215</v>
      </c>
    </row>
    <row r="9" spans="1:9" ht="43.5" x14ac:dyDescent="0.35">
      <c r="A9" s="9">
        <v>8</v>
      </c>
      <c r="B9" s="9" t="s">
        <v>62</v>
      </c>
      <c r="C9" s="9" t="s">
        <v>155</v>
      </c>
      <c r="D9" s="9" t="s">
        <v>111</v>
      </c>
      <c r="E9" s="9" t="s">
        <v>118</v>
      </c>
      <c r="F9" s="9"/>
      <c r="G9" s="9"/>
      <c r="H9" s="9" t="s">
        <v>22</v>
      </c>
      <c r="I9" s="9" t="s">
        <v>216</v>
      </c>
    </row>
    <row r="10" spans="1:9" ht="29" x14ac:dyDescent="0.35">
      <c r="A10" s="9">
        <v>9</v>
      </c>
      <c r="B10" s="9" t="s">
        <v>12</v>
      </c>
      <c r="C10" s="9" t="s">
        <v>132</v>
      </c>
      <c r="D10" s="9" t="s">
        <v>111</v>
      </c>
      <c r="E10" s="9" t="s">
        <v>118</v>
      </c>
      <c r="F10" s="9"/>
      <c r="G10" s="9"/>
      <c r="H10" s="9" t="s">
        <v>22</v>
      </c>
      <c r="I10" s="9" t="s">
        <v>133</v>
      </c>
    </row>
    <row r="11" spans="1:9" ht="43.5" x14ac:dyDescent="0.35">
      <c r="A11" s="9">
        <v>10</v>
      </c>
      <c r="B11" s="9" t="s">
        <v>13</v>
      </c>
      <c r="C11" s="9" t="s">
        <v>132</v>
      </c>
      <c r="D11" s="9" t="s">
        <v>111</v>
      </c>
      <c r="E11" s="9" t="s">
        <v>118</v>
      </c>
      <c r="F11" s="9"/>
      <c r="G11" s="9"/>
      <c r="H11" s="9" t="s">
        <v>22</v>
      </c>
      <c r="I11" s="9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4E34-AEAE-4A82-AC54-EE0D1F225F48}">
  <dimension ref="A1:I9"/>
  <sheetViews>
    <sheetView workbookViewId="0">
      <selection sqref="A1:I9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217</v>
      </c>
    </row>
    <row r="3" spans="1:9" ht="43.5" x14ac:dyDescent="0.35">
      <c r="A3" s="9">
        <v>2</v>
      </c>
      <c r="B3" s="9" t="s">
        <v>203</v>
      </c>
      <c r="C3" s="9" t="s">
        <v>110</v>
      </c>
      <c r="D3" s="9" t="s">
        <v>111</v>
      </c>
      <c r="E3" s="9" t="s">
        <v>112</v>
      </c>
      <c r="F3" s="9"/>
      <c r="G3" s="9" t="s">
        <v>204</v>
      </c>
      <c r="H3" s="9"/>
      <c r="I3" s="9" t="s">
        <v>205</v>
      </c>
    </row>
    <row r="4" spans="1:9" ht="58" x14ac:dyDescent="0.35">
      <c r="A4" s="9">
        <v>3</v>
      </c>
      <c r="B4" s="9" t="s">
        <v>218</v>
      </c>
      <c r="C4" s="9" t="s">
        <v>116</v>
      </c>
      <c r="D4" s="9">
        <v>100</v>
      </c>
      <c r="E4" s="9" t="s">
        <v>112</v>
      </c>
      <c r="F4" s="9"/>
      <c r="G4" s="9"/>
      <c r="H4" s="9"/>
      <c r="I4" s="9" t="s">
        <v>219</v>
      </c>
    </row>
    <row r="5" spans="1:9" ht="29" x14ac:dyDescent="0.35">
      <c r="A5" s="9">
        <v>4</v>
      </c>
      <c r="B5" s="9" t="s">
        <v>220</v>
      </c>
      <c r="C5" s="9" t="s">
        <v>116</v>
      </c>
      <c r="D5" s="9">
        <v>255</v>
      </c>
      <c r="E5" s="9" t="s">
        <v>112</v>
      </c>
      <c r="F5" s="9"/>
      <c r="G5" s="9"/>
      <c r="H5" s="9"/>
      <c r="I5" s="9" t="s">
        <v>221</v>
      </c>
    </row>
    <row r="6" spans="1:9" ht="29" x14ac:dyDescent="0.35">
      <c r="A6" s="9">
        <v>5</v>
      </c>
      <c r="B6" s="9" t="s">
        <v>222</v>
      </c>
      <c r="C6" s="9" t="s">
        <v>124</v>
      </c>
      <c r="D6" s="9" t="s">
        <v>111</v>
      </c>
      <c r="E6" s="9" t="s">
        <v>112</v>
      </c>
      <c r="F6" s="9"/>
      <c r="G6" s="9"/>
      <c r="H6" s="9" t="s">
        <v>200</v>
      </c>
      <c r="I6" s="9" t="s">
        <v>223</v>
      </c>
    </row>
    <row r="7" spans="1:9" ht="29" x14ac:dyDescent="0.35">
      <c r="A7" s="9">
        <v>6</v>
      </c>
      <c r="B7" s="9" t="s">
        <v>224</v>
      </c>
      <c r="C7" s="9" t="s">
        <v>155</v>
      </c>
      <c r="D7" s="9" t="s">
        <v>111</v>
      </c>
      <c r="E7" s="9" t="s">
        <v>118</v>
      </c>
      <c r="F7" s="9"/>
      <c r="G7" s="9"/>
      <c r="H7" s="9" t="s">
        <v>22</v>
      </c>
      <c r="I7" s="9" t="s">
        <v>225</v>
      </c>
    </row>
    <row r="8" spans="1:9" ht="29" x14ac:dyDescent="0.35">
      <c r="A8" s="9">
        <v>7</v>
      </c>
      <c r="B8" s="9" t="s">
        <v>12</v>
      </c>
      <c r="C8" s="9" t="s">
        <v>132</v>
      </c>
      <c r="D8" s="9" t="s">
        <v>111</v>
      </c>
      <c r="E8" s="9" t="s">
        <v>118</v>
      </c>
      <c r="F8" s="9"/>
      <c r="G8" s="9"/>
      <c r="H8" s="9" t="s">
        <v>22</v>
      </c>
      <c r="I8" s="9" t="s">
        <v>133</v>
      </c>
    </row>
    <row r="9" spans="1:9" ht="43.5" x14ac:dyDescent="0.35">
      <c r="A9" s="9">
        <v>8</v>
      </c>
      <c r="B9" s="9" t="s">
        <v>13</v>
      </c>
      <c r="C9" s="9" t="s">
        <v>132</v>
      </c>
      <c r="D9" s="9" t="s">
        <v>111</v>
      </c>
      <c r="E9" s="9" t="s">
        <v>118</v>
      </c>
      <c r="F9" s="9"/>
      <c r="G9" s="9"/>
      <c r="H9" s="9" t="s">
        <v>22</v>
      </c>
      <c r="I9" s="9" t="s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B7A7-2C05-491B-9A1E-3FA6AFA61054}">
  <dimension ref="A1:I8"/>
  <sheetViews>
    <sheetView workbookViewId="0">
      <selection sqref="A1:I8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226</v>
      </c>
    </row>
    <row r="3" spans="1:9" ht="43.5" x14ac:dyDescent="0.35">
      <c r="A3" s="9">
        <v>2</v>
      </c>
      <c r="B3" s="9" t="s">
        <v>203</v>
      </c>
      <c r="C3" s="9" t="s">
        <v>110</v>
      </c>
      <c r="D3" s="9" t="s">
        <v>111</v>
      </c>
      <c r="E3" s="9" t="s">
        <v>112</v>
      </c>
      <c r="F3" s="9"/>
      <c r="G3" s="9" t="s">
        <v>204</v>
      </c>
      <c r="H3" s="9"/>
      <c r="I3" s="9" t="s">
        <v>205</v>
      </c>
    </row>
    <row r="4" spans="1:9" ht="29" x14ac:dyDescent="0.35">
      <c r="A4" s="9">
        <v>3</v>
      </c>
      <c r="B4" s="9" t="s">
        <v>227</v>
      </c>
      <c r="C4" s="9" t="s">
        <v>197</v>
      </c>
      <c r="D4" s="9" t="s">
        <v>111</v>
      </c>
      <c r="E4" s="9" t="s">
        <v>112</v>
      </c>
      <c r="F4" s="9"/>
      <c r="G4" s="9"/>
      <c r="H4" s="9"/>
      <c r="I4" s="9" t="s">
        <v>228</v>
      </c>
    </row>
    <row r="5" spans="1:9" ht="29" x14ac:dyDescent="0.35">
      <c r="A5" s="9">
        <v>4</v>
      </c>
      <c r="B5" s="9" t="s">
        <v>220</v>
      </c>
      <c r="C5" s="9" t="s">
        <v>116</v>
      </c>
      <c r="D5" s="9">
        <v>255</v>
      </c>
      <c r="E5" s="9" t="s">
        <v>112</v>
      </c>
      <c r="F5" s="9"/>
      <c r="G5" s="9"/>
      <c r="H5" s="9"/>
      <c r="I5" s="9" t="s">
        <v>229</v>
      </c>
    </row>
    <row r="6" spans="1:9" ht="29" x14ac:dyDescent="0.35">
      <c r="A6" s="9">
        <v>5</v>
      </c>
      <c r="B6" s="9" t="s">
        <v>230</v>
      </c>
      <c r="C6" s="9" t="s">
        <v>124</v>
      </c>
      <c r="D6" s="9" t="s">
        <v>111</v>
      </c>
      <c r="E6" s="9" t="s">
        <v>112</v>
      </c>
      <c r="F6" s="9"/>
      <c r="G6" s="9"/>
      <c r="H6" s="9" t="s">
        <v>231</v>
      </c>
      <c r="I6" s="9" t="s">
        <v>232</v>
      </c>
    </row>
    <row r="7" spans="1:9" ht="29" x14ac:dyDescent="0.35">
      <c r="A7" s="9">
        <v>6</v>
      </c>
      <c r="B7" s="9" t="s">
        <v>12</v>
      </c>
      <c r="C7" s="9" t="s">
        <v>132</v>
      </c>
      <c r="D7" s="9" t="s">
        <v>111</v>
      </c>
      <c r="E7" s="9" t="s">
        <v>118</v>
      </c>
      <c r="F7" s="9"/>
      <c r="G7" s="9"/>
      <c r="H7" s="9" t="s">
        <v>22</v>
      </c>
      <c r="I7" s="9" t="s">
        <v>133</v>
      </c>
    </row>
    <row r="8" spans="1:9" ht="43.5" x14ac:dyDescent="0.35">
      <c r="A8" s="9">
        <v>7</v>
      </c>
      <c r="B8" s="9" t="s">
        <v>13</v>
      </c>
      <c r="C8" s="9" t="s">
        <v>132</v>
      </c>
      <c r="D8" s="9" t="s">
        <v>111</v>
      </c>
      <c r="E8" s="9" t="s">
        <v>118</v>
      </c>
      <c r="F8" s="9"/>
      <c r="G8" s="9"/>
      <c r="H8" s="9" t="s">
        <v>22</v>
      </c>
      <c r="I8" s="9" t="s">
        <v>134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1754-A338-4307-8ED1-0CC6C94200AA}">
  <dimension ref="A1:I10"/>
  <sheetViews>
    <sheetView topLeftCell="A7" workbookViewId="0">
      <selection sqref="A1:I10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233</v>
      </c>
    </row>
    <row r="3" spans="1:9" ht="43.5" x14ac:dyDescent="0.35">
      <c r="A3" s="9">
        <v>2</v>
      </c>
      <c r="B3" s="9" t="s">
        <v>234</v>
      </c>
      <c r="C3" s="9" t="s">
        <v>110</v>
      </c>
      <c r="D3" s="9" t="s">
        <v>111</v>
      </c>
      <c r="E3" s="9" t="s">
        <v>112</v>
      </c>
      <c r="F3" s="9"/>
      <c r="G3" s="9" t="s">
        <v>235</v>
      </c>
      <c r="H3" s="9"/>
      <c r="I3" s="9" t="s">
        <v>236</v>
      </c>
    </row>
    <row r="4" spans="1:9" ht="43.5" x14ac:dyDescent="0.35">
      <c r="A4" s="9">
        <v>3</v>
      </c>
      <c r="B4" s="9" t="s">
        <v>237</v>
      </c>
      <c r="C4" s="9" t="s">
        <v>238</v>
      </c>
      <c r="D4" s="9">
        <v>5.2</v>
      </c>
      <c r="E4" s="9" t="s">
        <v>118</v>
      </c>
      <c r="F4" s="9"/>
      <c r="G4" s="9"/>
      <c r="H4" s="9" t="s">
        <v>22</v>
      </c>
      <c r="I4" s="9" t="s">
        <v>239</v>
      </c>
    </row>
    <row r="5" spans="1:9" ht="58" x14ac:dyDescent="0.35">
      <c r="A5" s="9">
        <v>4</v>
      </c>
      <c r="B5" s="9" t="s">
        <v>240</v>
      </c>
      <c r="C5" s="9" t="s">
        <v>238</v>
      </c>
      <c r="D5" s="9">
        <v>5.2</v>
      </c>
      <c r="E5" s="9" t="s">
        <v>118</v>
      </c>
      <c r="F5" s="9"/>
      <c r="G5" s="9"/>
      <c r="H5" s="9" t="s">
        <v>22</v>
      </c>
      <c r="I5" s="9" t="s">
        <v>241</v>
      </c>
    </row>
    <row r="6" spans="1:9" ht="43.5" x14ac:dyDescent="0.35">
      <c r="A6" s="9">
        <v>5</v>
      </c>
      <c r="B6" s="9" t="s">
        <v>242</v>
      </c>
      <c r="C6" s="9" t="s">
        <v>238</v>
      </c>
      <c r="D6" s="9">
        <v>5.2</v>
      </c>
      <c r="E6" s="9" t="s">
        <v>118</v>
      </c>
      <c r="F6" s="9"/>
      <c r="G6" s="9"/>
      <c r="H6" s="9" t="s">
        <v>22</v>
      </c>
      <c r="I6" s="9" t="s">
        <v>243</v>
      </c>
    </row>
    <row r="7" spans="1:9" x14ac:dyDescent="0.35">
      <c r="A7" s="9">
        <v>6</v>
      </c>
      <c r="B7" s="9" t="s">
        <v>244</v>
      </c>
      <c r="C7" s="9" t="s">
        <v>238</v>
      </c>
      <c r="D7" s="9">
        <v>5.2</v>
      </c>
      <c r="E7" s="9" t="s">
        <v>118</v>
      </c>
      <c r="F7" s="9"/>
      <c r="G7" s="9"/>
      <c r="H7" s="9" t="s">
        <v>22</v>
      </c>
      <c r="I7" s="9" t="s">
        <v>245</v>
      </c>
    </row>
    <row r="8" spans="1:9" ht="43.5" x14ac:dyDescent="0.35">
      <c r="A8" s="9">
        <v>7</v>
      </c>
      <c r="B8" s="9" t="s">
        <v>222</v>
      </c>
      <c r="C8" s="9" t="s">
        <v>124</v>
      </c>
      <c r="D8" s="9" t="s">
        <v>111</v>
      </c>
      <c r="E8" s="9" t="s">
        <v>112</v>
      </c>
      <c r="F8" s="9"/>
      <c r="G8" s="9"/>
      <c r="H8" s="9" t="s">
        <v>246</v>
      </c>
      <c r="I8" s="9" t="s">
        <v>247</v>
      </c>
    </row>
    <row r="9" spans="1:9" ht="29" x14ac:dyDescent="0.35">
      <c r="A9" s="9">
        <v>8</v>
      </c>
      <c r="B9" s="9" t="s">
        <v>12</v>
      </c>
      <c r="C9" s="9" t="s">
        <v>132</v>
      </c>
      <c r="D9" s="9" t="s">
        <v>111</v>
      </c>
      <c r="E9" s="9" t="s">
        <v>118</v>
      </c>
      <c r="F9" s="9"/>
      <c r="G9" s="9"/>
      <c r="H9" s="9" t="s">
        <v>22</v>
      </c>
      <c r="I9" s="9" t="s">
        <v>133</v>
      </c>
    </row>
    <row r="10" spans="1:9" ht="43.5" x14ac:dyDescent="0.35">
      <c r="A10" s="9">
        <v>9</v>
      </c>
      <c r="B10" s="9" t="s">
        <v>13</v>
      </c>
      <c r="C10" s="9" t="s">
        <v>132</v>
      </c>
      <c r="D10" s="9" t="s">
        <v>111</v>
      </c>
      <c r="E10" s="9" t="s">
        <v>118</v>
      </c>
      <c r="F10" s="9"/>
      <c r="G10" s="9"/>
      <c r="H10" s="9" t="s">
        <v>22</v>
      </c>
      <c r="I10" s="9" t="s">
        <v>134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E919-DF2E-419C-85B2-7131C7E5F4D7}">
  <dimension ref="A1:I6"/>
  <sheetViews>
    <sheetView workbookViewId="0">
      <selection sqref="A1:I6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248</v>
      </c>
    </row>
    <row r="3" spans="1:9" ht="29" x14ac:dyDescent="0.35">
      <c r="A3" s="9">
        <v>2</v>
      </c>
      <c r="B3" s="9" t="s">
        <v>249</v>
      </c>
      <c r="C3" s="9" t="s">
        <v>116</v>
      </c>
      <c r="D3" s="9">
        <v>100</v>
      </c>
      <c r="E3" s="9" t="s">
        <v>112</v>
      </c>
      <c r="F3" s="9"/>
      <c r="G3" s="9"/>
      <c r="H3" s="9"/>
      <c r="I3" s="9" t="s">
        <v>250</v>
      </c>
    </row>
    <row r="4" spans="1:9" ht="58" x14ac:dyDescent="0.35">
      <c r="A4" s="9">
        <v>3</v>
      </c>
      <c r="B4" s="9" t="s">
        <v>251</v>
      </c>
      <c r="C4" s="9" t="s">
        <v>124</v>
      </c>
      <c r="D4" s="9" t="s">
        <v>111</v>
      </c>
      <c r="E4" s="9" t="s">
        <v>112</v>
      </c>
      <c r="F4" s="9"/>
      <c r="G4" s="9"/>
      <c r="H4" s="9" t="s">
        <v>252</v>
      </c>
      <c r="I4" s="9" t="s">
        <v>253</v>
      </c>
    </row>
    <row r="5" spans="1:9" ht="29" x14ac:dyDescent="0.35">
      <c r="A5" s="9">
        <v>4</v>
      </c>
      <c r="B5" s="9" t="s">
        <v>12</v>
      </c>
      <c r="C5" s="9" t="s">
        <v>132</v>
      </c>
      <c r="D5" s="9" t="s">
        <v>111</v>
      </c>
      <c r="E5" s="9" t="s">
        <v>118</v>
      </c>
      <c r="F5" s="9"/>
      <c r="G5" s="9"/>
      <c r="H5" s="9" t="s">
        <v>22</v>
      </c>
      <c r="I5" s="9" t="s">
        <v>133</v>
      </c>
    </row>
    <row r="6" spans="1:9" ht="43.5" x14ac:dyDescent="0.35">
      <c r="A6" s="9">
        <v>5</v>
      </c>
      <c r="B6" s="9" t="s">
        <v>13</v>
      </c>
      <c r="C6" s="9" t="s">
        <v>132</v>
      </c>
      <c r="D6" s="9" t="s">
        <v>111</v>
      </c>
      <c r="E6" s="9" t="s">
        <v>118</v>
      </c>
      <c r="F6" s="9"/>
      <c r="G6" s="9"/>
      <c r="H6" s="9" t="s">
        <v>22</v>
      </c>
      <c r="I6" s="9" t="s">
        <v>134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0278-A87E-485D-AE7E-363797DBFC73}">
  <dimension ref="A1:I7"/>
  <sheetViews>
    <sheetView workbookViewId="0">
      <selection sqref="A1:I7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254</v>
      </c>
    </row>
    <row r="3" spans="1:9" ht="43.5" x14ac:dyDescent="0.35">
      <c r="A3" s="9">
        <v>2</v>
      </c>
      <c r="B3" s="9" t="s">
        <v>170</v>
      </c>
      <c r="C3" s="9" t="s">
        <v>110</v>
      </c>
      <c r="D3" s="9" t="s">
        <v>111</v>
      </c>
      <c r="E3" s="9" t="s">
        <v>112</v>
      </c>
      <c r="F3" s="9"/>
      <c r="G3" s="9" t="s">
        <v>171</v>
      </c>
      <c r="H3" s="9"/>
      <c r="I3" s="9" t="s">
        <v>172</v>
      </c>
    </row>
    <row r="4" spans="1:9" ht="43.5" x14ac:dyDescent="0.35">
      <c r="A4" s="9">
        <v>3</v>
      </c>
      <c r="B4" s="9" t="s">
        <v>255</v>
      </c>
      <c r="C4" s="9" t="s">
        <v>110</v>
      </c>
      <c r="D4" s="9" t="s">
        <v>111</v>
      </c>
      <c r="E4" s="9" t="s">
        <v>112</v>
      </c>
      <c r="F4" s="9"/>
      <c r="G4" s="9" t="s">
        <v>256</v>
      </c>
      <c r="H4" s="9"/>
      <c r="I4" s="9" t="s">
        <v>257</v>
      </c>
    </row>
    <row r="5" spans="1:9" ht="29" x14ac:dyDescent="0.35">
      <c r="A5" s="9">
        <v>4</v>
      </c>
      <c r="B5" s="9" t="s">
        <v>258</v>
      </c>
      <c r="C5" s="9" t="s">
        <v>238</v>
      </c>
      <c r="D5" s="9">
        <v>4.2</v>
      </c>
      <c r="E5" s="9" t="s">
        <v>112</v>
      </c>
      <c r="F5" s="9"/>
      <c r="G5" s="9"/>
      <c r="H5" s="9"/>
      <c r="I5" s="9" t="s">
        <v>259</v>
      </c>
    </row>
    <row r="6" spans="1:9" ht="29" x14ac:dyDescent="0.35">
      <c r="A6" s="9">
        <v>5</v>
      </c>
      <c r="B6" s="9" t="s">
        <v>12</v>
      </c>
      <c r="C6" s="9" t="s">
        <v>132</v>
      </c>
      <c r="D6" s="9" t="s">
        <v>111</v>
      </c>
      <c r="E6" s="9" t="s">
        <v>118</v>
      </c>
      <c r="F6" s="9"/>
      <c r="G6" s="9"/>
      <c r="H6" s="9" t="s">
        <v>22</v>
      </c>
      <c r="I6" s="9" t="s">
        <v>133</v>
      </c>
    </row>
    <row r="7" spans="1:9" ht="43.5" x14ac:dyDescent="0.35">
      <c r="A7" s="9">
        <v>6</v>
      </c>
      <c r="B7" s="9" t="s">
        <v>13</v>
      </c>
      <c r="C7" s="9" t="s">
        <v>132</v>
      </c>
      <c r="D7" s="9" t="s">
        <v>111</v>
      </c>
      <c r="E7" s="9" t="s">
        <v>118</v>
      </c>
      <c r="F7" s="9"/>
      <c r="G7" s="9"/>
      <c r="H7" s="9" t="s">
        <v>22</v>
      </c>
      <c r="I7" s="9" t="s">
        <v>134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FAC3-73C6-40C5-AF6C-C798556E0E78}">
  <dimension ref="A1:I8"/>
  <sheetViews>
    <sheetView topLeftCell="A7" workbookViewId="0">
      <selection sqref="A1:I8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260</v>
      </c>
    </row>
    <row r="3" spans="1:9" ht="43.5" x14ac:dyDescent="0.35">
      <c r="A3" s="9">
        <v>2</v>
      </c>
      <c r="B3" s="9" t="s">
        <v>261</v>
      </c>
      <c r="C3" s="9" t="s">
        <v>110</v>
      </c>
      <c r="D3" s="9" t="s">
        <v>111</v>
      </c>
      <c r="E3" s="9" t="s">
        <v>112</v>
      </c>
      <c r="F3" s="9"/>
      <c r="G3" s="9" t="s">
        <v>262</v>
      </c>
      <c r="H3" s="9"/>
      <c r="I3" s="9" t="s">
        <v>263</v>
      </c>
    </row>
    <row r="4" spans="1:9" ht="58" x14ac:dyDescent="0.35">
      <c r="A4" s="9">
        <v>3</v>
      </c>
      <c r="B4" s="9" t="s">
        <v>173</v>
      </c>
      <c r="C4" s="9" t="s">
        <v>110</v>
      </c>
      <c r="D4" s="9" t="s">
        <v>111</v>
      </c>
      <c r="E4" s="9" t="s">
        <v>112</v>
      </c>
      <c r="F4" s="9"/>
      <c r="G4" s="9" t="s">
        <v>174</v>
      </c>
      <c r="H4" s="9"/>
      <c r="I4" s="9" t="s">
        <v>264</v>
      </c>
    </row>
    <row r="5" spans="1:9" ht="29" x14ac:dyDescent="0.35">
      <c r="A5" s="9">
        <v>4</v>
      </c>
      <c r="B5" s="9" t="s">
        <v>265</v>
      </c>
      <c r="C5" s="9" t="s">
        <v>238</v>
      </c>
      <c r="D5" s="9">
        <v>6.4</v>
      </c>
      <c r="E5" s="9" t="s">
        <v>112</v>
      </c>
      <c r="F5" s="9"/>
      <c r="G5" s="9"/>
      <c r="H5" s="9"/>
      <c r="I5" s="9" t="s">
        <v>266</v>
      </c>
    </row>
    <row r="6" spans="1:9" ht="43.5" x14ac:dyDescent="0.35">
      <c r="A6" s="9">
        <v>5</v>
      </c>
      <c r="B6" s="9" t="s">
        <v>267</v>
      </c>
      <c r="C6" s="9" t="s">
        <v>128</v>
      </c>
      <c r="D6" s="9" t="s">
        <v>111</v>
      </c>
      <c r="E6" s="9" t="s">
        <v>112</v>
      </c>
      <c r="F6" s="9"/>
      <c r="G6" s="9"/>
      <c r="H6" s="9"/>
      <c r="I6" s="9" t="s">
        <v>268</v>
      </c>
    </row>
    <row r="7" spans="1:9" ht="29" x14ac:dyDescent="0.35">
      <c r="A7" s="9">
        <v>6</v>
      </c>
      <c r="B7" s="9" t="s">
        <v>12</v>
      </c>
      <c r="C7" s="9" t="s">
        <v>132</v>
      </c>
      <c r="D7" s="9" t="s">
        <v>111</v>
      </c>
      <c r="E7" s="9" t="s">
        <v>118</v>
      </c>
      <c r="F7" s="9"/>
      <c r="G7" s="9"/>
      <c r="H7" s="9" t="s">
        <v>22</v>
      </c>
      <c r="I7" s="9" t="s">
        <v>133</v>
      </c>
    </row>
    <row r="8" spans="1:9" ht="43.5" x14ac:dyDescent="0.35">
      <c r="A8" s="9">
        <v>7</v>
      </c>
      <c r="B8" s="9" t="s">
        <v>13</v>
      </c>
      <c r="C8" s="9" t="s">
        <v>132</v>
      </c>
      <c r="D8" s="9" t="s">
        <v>111</v>
      </c>
      <c r="E8" s="9" t="s">
        <v>118</v>
      </c>
      <c r="F8" s="9"/>
      <c r="G8" s="9"/>
      <c r="H8" s="9" t="s">
        <v>22</v>
      </c>
      <c r="I8" s="9" t="s">
        <v>134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FA43-D5CC-4E8D-9AC5-A11BFCEE8EF2}">
  <dimension ref="A1:I8"/>
  <sheetViews>
    <sheetView topLeftCell="A7" workbookViewId="0">
      <selection sqref="A1:I8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269</v>
      </c>
    </row>
    <row r="3" spans="1:9" ht="29" x14ac:dyDescent="0.35">
      <c r="A3" s="9">
        <v>2</v>
      </c>
      <c r="B3" s="9" t="s">
        <v>270</v>
      </c>
      <c r="C3" s="9" t="s">
        <v>116</v>
      </c>
      <c r="D3" s="9">
        <v>100</v>
      </c>
      <c r="E3" s="9" t="s">
        <v>112</v>
      </c>
      <c r="F3" s="9"/>
      <c r="G3" s="9"/>
      <c r="H3" s="9"/>
      <c r="I3" s="9" t="s">
        <v>271</v>
      </c>
    </row>
    <row r="4" spans="1:9" ht="29" x14ac:dyDescent="0.35">
      <c r="A4" s="9">
        <v>3</v>
      </c>
      <c r="B4" s="9" t="s">
        <v>140</v>
      </c>
      <c r="C4" s="9" t="s">
        <v>116</v>
      </c>
      <c r="D4" s="9">
        <v>100</v>
      </c>
      <c r="E4" s="9" t="s">
        <v>112</v>
      </c>
      <c r="F4" s="9"/>
      <c r="G4" s="9"/>
      <c r="H4" s="9"/>
      <c r="I4" s="9" t="s">
        <v>272</v>
      </c>
    </row>
    <row r="5" spans="1:9" ht="43.5" x14ac:dyDescent="0.35">
      <c r="A5" s="9">
        <v>4</v>
      </c>
      <c r="B5" s="9" t="s">
        <v>273</v>
      </c>
      <c r="C5" s="9" t="s">
        <v>116</v>
      </c>
      <c r="D5" s="9">
        <v>255</v>
      </c>
      <c r="E5" s="9" t="s">
        <v>118</v>
      </c>
      <c r="F5" s="9"/>
      <c r="G5" s="9"/>
      <c r="H5" s="9" t="s">
        <v>22</v>
      </c>
      <c r="I5" s="9" t="s">
        <v>274</v>
      </c>
    </row>
    <row r="6" spans="1:9" ht="43.5" x14ac:dyDescent="0.35">
      <c r="A6" s="9">
        <v>5</v>
      </c>
      <c r="B6" s="9" t="s">
        <v>32</v>
      </c>
      <c r="C6" s="9" t="s">
        <v>130</v>
      </c>
      <c r="D6" s="9" t="s">
        <v>111</v>
      </c>
      <c r="E6" s="9" t="s">
        <v>112</v>
      </c>
      <c r="F6" s="9"/>
      <c r="G6" s="9"/>
      <c r="H6" s="9">
        <v>0</v>
      </c>
      <c r="I6" s="9" t="s">
        <v>275</v>
      </c>
    </row>
    <row r="7" spans="1:9" ht="29" x14ac:dyDescent="0.35">
      <c r="A7" s="9">
        <v>6</v>
      </c>
      <c r="B7" s="9" t="s">
        <v>12</v>
      </c>
      <c r="C7" s="9" t="s">
        <v>132</v>
      </c>
      <c r="D7" s="9" t="s">
        <v>111</v>
      </c>
      <c r="E7" s="9" t="s">
        <v>118</v>
      </c>
      <c r="F7" s="9"/>
      <c r="G7" s="9"/>
      <c r="H7" s="9" t="s">
        <v>22</v>
      </c>
      <c r="I7" s="9" t="s">
        <v>133</v>
      </c>
    </row>
    <row r="8" spans="1:9" ht="43.5" x14ac:dyDescent="0.35">
      <c r="A8" s="9">
        <v>7</v>
      </c>
      <c r="B8" s="9" t="s">
        <v>13</v>
      </c>
      <c r="C8" s="9" t="s">
        <v>132</v>
      </c>
      <c r="D8" s="9" t="s">
        <v>111</v>
      </c>
      <c r="E8" s="9" t="s">
        <v>118</v>
      </c>
      <c r="F8" s="9"/>
      <c r="G8" s="9"/>
      <c r="H8" s="9" t="s">
        <v>22</v>
      </c>
      <c r="I8" s="9" t="s">
        <v>134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0655-627F-4242-BB4F-B41B81DBFEE7}">
  <dimension ref="A1:I8"/>
  <sheetViews>
    <sheetView tabSelected="1" topLeftCell="A4" workbookViewId="0">
      <selection sqref="A1:I8"/>
    </sheetView>
  </sheetViews>
  <sheetFormatPr defaultRowHeight="14.5" x14ac:dyDescent="0.35"/>
  <sheetData>
    <row r="1" spans="1:9" ht="29" x14ac:dyDescent="0.35">
      <c r="A1" s="8" t="s">
        <v>0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106</v>
      </c>
      <c r="G1" s="8" t="s">
        <v>107</v>
      </c>
      <c r="H1" s="8" t="s">
        <v>108</v>
      </c>
      <c r="I1" s="8" t="s">
        <v>109</v>
      </c>
    </row>
    <row r="2" spans="1:9" ht="43.5" x14ac:dyDescent="0.35">
      <c r="A2" s="9">
        <v>1</v>
      </c>
      <c r="B2" s="9" t="s">
        <v>9</v>
      </c>
      <c r="C2" s="9" t="s">
        <v>110</v>
      </c>
      <c r="D2" s="9" t="s">
        <v>111</v>
      </c>
      <c r="E2" s="9" t="s">
        <v>112</v>
      </c>
      <c r="F2" s="9" t="s">
        <v>113</v>
      </c>
      <c r="G2" s="9"/>
      <c r="H2" s="9" t="s">
        <v>114</v>
      </c>
      <c r="I2" s="9" t="s">
        <v>276</v>
      </c>
    </row>
    <row r="3" spans="1:9" ht="43.5" x14ac:dyDescent="0.35">
      <c r="A3" s="9">
        <v>2</v>
      </c>
      <c r="B3" s="9" t="s">
        <v>277</v>
      </c>
      <c r="C3" s="9" t="s">
        <v>110</v>
      </c>
      <c r="D3" s="9" t="s">
        <v>111</v>
      </c>
      <c r="E3" s="9" t="s">
        <v>112</v>
      </c>
      <c r="F3" s="9"/>
      <c r="G3" s="9" t="s">
        <v>278</v>
      </c>
      <c r="H3" s="9"/>
      <c r="I3" s="9" t="s">
        <v>279</v>
      </c>
    </row>
    <row r="4" spans="1:9" ht="72.5" x14ac:dyDescent="0.35">
      <c r="A4" s="9">
        <v>3</v>
      </c>
      <c r="B4" s="9" t="s">
        <v>280</v>
      </c>
      <c r="C4" s="9" t="s">
        <v>116</v>
      </c>
      <c r="D4" s="9">
        <v>50</v>
      </c>
      <c r="E4" s="9" t="s">
        <v>112</v>
      </c>
      <c r="F4" s="9"/>
      <c r="G4" s="9"/>
      <c r="H4" s="9"/>
      <c r="I4" s="9" t="s">
        <v>281</v>
      </c>
    </row>
    <row r="5" spans="1:9" ht="29" x14ac:dyDescent="0.35">
      <c r="A5" s="9">
        <v>4</v>
      </c>
      <c r="B5" s="9" t="s">
        <v>220</v>
      </c>
      <c r="C5" s="9" t="s">
        <v>116</v>
      </c>
      <c r="D5" s="9">
        <v>255</v>
      </c>
      <c r="E5" s="9" t="s">
        <v>112</v>
      </c>
      <c r="F5" s="9"/>
      <c r="G5" s="9"/>
      <c r="H5" s="9"/>
      <c r="I5" s="9" t="s">
        <v>282</v>
      </c>
    </row>
    <row r="6" spans="1:9" ht="29" x14ac:dyDescent="0.35">
      <c r="A6" s="9">
        <v>5</v>
      </c>
      <c r="B6" s="9" t="s">
        <v>105</v>
      </c>
      <c r="C6" s="9" t="s">
        <v>128</v>
      </c>
      <c r="D6" s="9" t="s">
        <v>111</v>
      </c>
      <c r="E6" s="9" t="s">
        <v>112</v>
      </c>
      <c r="F6" s="9"/>
      <c r="G6" s="9"/>
      <c r="H6" s="9">
        <v>0</v>
      </c>
      <c r="I6" s="9" t="s">
        <v>283</v>
      </c>
    </row>
    <row r="7" spans="1:9" ht="29" x14ac:dyDescent="0.35">
      <c r="A7" s="9">
        <v>6</v>
      </c>
      <c r="B7" s="9" t="s">
        <v>12</v>
      </c>
      <c r="C7" s="9" t="s">
        <v>132</v>
      </c>
      <c r="D7" s="9" t="s">
        <v>111</v>
      </c>
      <c r="E7" s="9" t="s">
        <v>118</v>
      </c>
      <c r="F7" s="9"/>
      <c r="G7" s="9"/>
      <c r="H7" s="9" t="s">
        <v>22</v>
      </c>
      <c r="I7" s="9" t="s">
        <v>133</v>
      </c>
    </row>
    <row r="8" spans="1:9" ht="43.5" x14ac:dyDescent="0.35">
      <c r="A8" s="9">
        <v>7</v>
      </c>
      <c r="B8" s="9" t="s">
        <v>13</v>
      </c>
      <c r="C8" s="9" t="s">
        <v>132</v>
      </c>
      <c r="D8" s="9" t="s">
        <v>111</v>
      </c>
      <c r="E8" s="9" t="s">
        <v>118</v>
      </c>
      <c r="F8" s="9"/>
      <c r="G8" s="9"/>
      <c r="H8" s="9" t="s">
        <v>22</v>
      </c>
      <c r="I8" s="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roles</vt:lpstr>
      <vt:lpstr>users</vt:lpstr>
      <vt:lpstr>activity_logs</vt:lpstr>
      <vt:lpstr>profil_sekolah</vt:lpstr>
      <vt:lpstr>jurusan</vt:lpstr>
      <vt:lpstr>guru</vt:lpstr>
      <vt:lpstr>berita</vt:lpstr>
      <vt:lpstr>galeri</vt:lpstr>
      <vt:lpstr>periode_ppdb</vt:lpstr>
      <vt:lpstr>pendaftar</vt:lpstr>
      <vt:lpstr>orang_tua</vt:lpstr>
      <vt:lpstr>dokumen</vt:lpstr>
      <vt:lpstr>rapor</vt:lpstr>
      <vt:lpstr>hasil_ocr</vt:lpstr>
      <vt:lpstr>kriteria </vt:lpstr>
      <vt:lpstr>bobot</vt:lpstr>
      <vt:lpstr>hasil_rekomendasi</vt:lpstr>
      <vt:lpstr>themes</vt:lpstr>
      <vt:lpstr>theme_assets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pida mupidah</dc:creator>
  <cp:lastModifiedBy>pida mupidah</cp:lastModifiedBy>
  <dcterms:created xsi:type="dcterms:W3CDTF">2026-08-04T03:36:27Z</dcterms:created>
  <dcterms:modified xsi:type="dcterms:W3CDTF">2026-08-04T07:09:26Z</dcterms:modified>
</cp:coreProperties>
</file>